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t Williams\Box\PSP Active Controls\TOAD\Engine\Flight Chamber\Cooling Code\Material Data\"/>
    </mc:Choice>
  </mc:AlternateContent>
  <xr:revisionPtr revIDLastSave="0" documentId="13_ncr:1_{DD533E3B-5ED6-46C0-923A-674180292B70}" xr6:coauthVersionLast="47" xr6:coauthVersionMax="47" xr10:uidLastSave="{00000000-0000-0000-0000-000000000000}"/>
  <bookViews>
    <workbookView xWindow="14295" yWindow="0" windowWidth="14610" windowHeight="17385" xr2:uid="{34498A9F-2ECF-4F9C-8A04-22EC23868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I20" i="1"/>
  <c r="I21" i="1"/>
  <c r="I22" i="1"/>
  <c r="I23" i="1"/>
  <c r="I24" i="1"/>
  <c r="I25" i="1"/>
  <c r="I26" i="1"/>
  <c r="I27" i="1"/>
  <c r="I28" i="1"/>
  <c r="I19" i="1"/>
</calcChain>
</file>

<file path=xl/sharedStrings.xml><?xml version="1.0" encoding="utf-8"?>
<sst xmlns="http://schemas.openxmlformats.org/spreadsheetml/2006/main" count="11" uniqueCount="10">
  <si>
    <t>Temp (K)</t>
  </si>
  <si>
    <t>Thermal Conductivity (W/m*k)</t>
  </si>
  <si>
    <t>Elongation</t>
  </si>
  <si>
    <t>Yield Strength (MPa)</t>
  </si>
  <si>
    <t>Tangent Modulus (Mpa) (=D/E)</t>
  </si>
  <si>
    <t>All Values Taken from Ansys Additive Manufacturing Materials</t>
  </si>
  <si>
    <t>CTE (K^-1)</t>
  </si>
  <si>
    <t>F</t>
  </si>
  <si>
    <t>K</t>
  </si>
  <si>
    <t>Young's Modulus €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</si>
</sst>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0" fontId="1" fillId="0" borderId="0" xfId="1"/>
    <xf numFmtId="11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6AC5-B53F-4C28-BBC3-0059A439BC1A}">
  <dimension ref="A1:L31"/>
  <sheetViews>
    <sheetView tabSelected="1" workbookViewId="0">
      <selection activeCell="F2" sqref="F2:F6"/>
    </sheetView>
  </sheetViews>
  <sheetFormatPr defaultRowHeight="15" x14ac:dyDescent="0.25"/>
  <cols>
    <col min="1" max="1" width="9.140625" customWidth="1"/>
    <col min="2" max="2" width="14.140625" customWidth="1"/>
    <col min="3" max="3" width="11.85546875" customWidth="1"/>
    <col min="4" max="4" width="21.140625" customWidth="1"/>
    <col min="5" max="5" width="14.85546875" customWidth="1"/>
    <col min="6" max="6" width="15" customWidth="1"/>
    <col min="7" max="7" width="22.7109375" customWidth="1"/>
    <col min="8" max="8" width="22.42578125" customWidth="1"/>
    <col min="9" max="9" width="12.42578125" customWidth="1"/>
    <col min="10" max="10" width="17.140625" customWidth="1"/>
    <col min="11" max="12" width="11.7109375" bestFit="1" customWidth="1"/>
  </cols>
  <sheetData>
    <row r="1" spans="1:12" s="1" customFormat="1" ht="29.65" customHeight="1" x14ac:dyDescent="0.25">
      <c r="A1" s="1" t="s">
        <v>0</v>
      </c>
      <c r="B1" s="1" t="s">
        <v>3</v>
      </c>
      <c r="C1" s="1" t="s">
        <v>2</v>
      </c>
      <c r="D1" s="1" t="s">
        <v>4</v>
      </c>
      <c r="E1" s="2" t="s">
        <v>9</v>
      </c>
      <c r="I1"/>
      <c r="J1"/>
    </row>
    <row r="2" spans="1:12" x14ac:dyDescent="0.25">
      <c r="A2">
        <v>297.14999999999998</v>
      </c>
      <c r="B2">
        <v>655</v>
      </c>
      <c r="C2">
        <f>0.0587*A2+9.5453</f>
        <v>26.988005000000001</v>
      </c>
      <c r="D2">
        <v>2413</v>
      </c>
      <c r="E2">
        <v>162000000000</v>
      </c>
      <c r="K2" s="3"/>
      <c r="L2" t="s">
        <v>5</v>
      </c>
    </row>
    <row r="3" spans="1:12" x14ac:dyDescent="0.25">
      <c r="A3">
        <v>811.15</v>
      </c>
      <c r="B3">
        <v>565</v>
      </c>
      <c r="C3">
        <f>0.0587*A3+9.5453</f>
        <v>57.159804999999999</v>
      </c>
      <c r="D3">
        <v>2034</v>
      </c>
      <c r="E3">
        <v>124000000000</v>
      </c>
      <c r="K3" s="3"/>
      <c r="L3" s="4"/>
    </row>
    <row r="4" spans="1:12" x14ac:dyDescent="0.25">
      <c r="A4">
        <v>1089.1500000000001</v>
      </c>
      <c r="B4">
        <v>260</v>
      </c>
      <c r="C4">
        <f>0.0587*A4+9.5453</f>
        <v>73.478405000000009</v>
      </c>
      <c r="D4">
        <v>286</v>
      </c>
      <c r="E4">
        <v>57000000000</v>
      </c>
      <c r="K4" s="3"/>
    </row>
    <row r="5" spans="1:12" x14ac:dyDescent="0.25">
      <c r="A5">
        <v>1255.1500000000001</v>
      </c>
      <c r="B5">
        <v>105</v>
      </c>
      <c r="C5">
        <f>0.0587*A5+9.5453</f>
        <v>83.222605000000001</v>
      </c>
      <c r="D5">
        <v>35</v>
      </c>
      <c r="E5">
        <v>38000000000</v>
      </c>
      <c r="K5" s="3"/>
    </row>
    <row r="6" spans="1:12" x14ac:dyDescent="0.25">
      <c r="A6">
        <v>1366.15</v>
      </c>
      <c r="B6">
        <v>57</v>
      </c>
      <c r="C6">
        <f>0.0587*A6+9.5453</f>
        <v>89.738305000000011</v>
      </c>
      <c r="D6">
        <v>20</v>
      </c>
      <c r="E6">
        <v>21000000000</v>
      </c>
      <c r="K6" s="3"/>
    </row>
    <row r="7" spans="1:12" x14ac:dyDescent="0.25">
      <c r="K7" s="3"/>
    </row>
    <row r="8" spans="1:12" ht="45" x14ac:dyDescent="0.25">
      <c r="B8" s="1" t="s">
        <v>1</v>
      </c>
    </row>
    <row r="9" spans="1:12" x14ac:dyDescent="0.25">
      <c r="A9">
        <v>255.14999999999998</v>
      </c>
      <c r="B9">
        <v>9.1999999999999993</v>
      </c>
    </row>
    <row r="10" spans="1:12" x14ac:dyDescent="0.25">
      <c r="A10">
        <v>294.14999999999998</v>
      </c>
      <c r="B10">
        <v>9.8000000000000007</v>
      </c>
    </row>
    <row r="11" spans="1:12" x14ac:dyDescent="0.25">
      <c r="A11">
        <v>311.14999999999998</v>
      </c>
      <c r="B11">
        <v>10.1</v>
      </c>
    </row>
    <row r="12" spans="1:12" x14ac:dyDescent="0.25">
      <c r="A12">
        <v>366.15</v>
      </c>
      <c r="B12">
        <v>10.8</v>
      </c>
    </row>
    <row r="13" spans="1:12" x14ac:dyDescent="0.25">
      <c r="A13">
        <v>477.15</v>
      </c>
      <c r="B13">
        <v>12.5</v>
      </c>
    </row>
    <row r="14" spans="1:12" x14ac:dyDescent="0.25">
      <c r="A14">
        <v>589.15</v>
      </c>
      <c r="B14">
        <v>14.1</v>
      </c>
      <c r="C14" s="4"/>
    </row>
    <row r="15" spans="1:12" x14ac:dyDescent="0.25">
      <c r="A15">
        <v>700.15</v>
      </c>
      <c r="B15">
        <v>15.7</v>
      </c>
    </row>
    <row r="16" spans="1:12" x14ac:dyDescent="0.25">
      <c r="A16">
        <v>811.15</v>
      </c>
      <c r="B16">
        <v>17.5</v>
      </c>
    </row>
    <row r="17" spans="1:10" x14ac:dyDescent="0.25">
      <c r="A17">
        <v>922.15</v>
      </c>
      <c r="B17">
        <v>19</v>
      </c>
    </row>
    <row r="18" spans="1:10" x14ac:dyDescent="0.25">
      <c r="A18">
        <v>1033.1500000000001</v>
      </c>
      <c r="B18">
        <v>20.8</v>
      </c>
      <c r="F18" s="5"/>
      <c r="G18" s="5"/>
      <c r="H18" t="s">
        <v>7</v>
      </c>
      <c r="I18" s="5" t="s">
        <v>8</v>
      </c>
      <c r="J18" s="5" t="s">
        <v>2</v>
      </c>
    </row>
    <row r="19" spans="1:10" ht="15.75" x14ac:dyDescent="0.25">
      <c r="A19">
        <v>1144.1500000000001</v>
      </c>
      <c r="B19">
        <v>22.8</v>
      </c>
      <c r="F19" s="5"/>
      <c r="G19" s="5"/>
      <c r="H19">
        <v>200</v>
      </c>
      <c r="I19" s="5">
        <f>(H19-32)*(5/9) + 273.15</f>
        <v>366.48333333333335</v>
      </c>
      <c r="J19" s="6">
        <v>41</v>
      </c>
    </row>
    <row r="20" spans="1:10" ht="15.75" x14ac:dyDescent="0.25">
      <c r="A20">
        <v>1255.1500000000001</v>
      </c>
      <c r="B20">
        <v>25.2</v>
      </c>
      <c r="F20" s="5"/>
      <c r="G20" s="5"/>
      <c r="H20">
        <v>400</v>
      </c>
      <c r="I20" s="5">
        <f t="shared" ref="I20:I28" si="0">(H20-32)*(5/9) + 273.15</f>
        <v>477.59444444444443</v>
      </c>
      <c r="J20" s="6">
        <v>44</v>
      </c>
    </row>
    <row r="21" spans="1:10" ht="15.75" x14ac:dyDescent="0.25">
      <c r="F21" s="5"/>
      <c r="G21" s="5"/>
      <c r="H21">
        <v>600</v>
      </c>
      <c r="I21" s="5">
        <f t="shared" si="0"/>
        <v>588.70555555555552</v>
      </c>
      <c r="J21" s="6">
        <v>45</v>
      </c>
    </row>
    <row r="22" spans="1:10" ht="15.75" x14ac:dyDescent="0.25">
      <c r="B22" t="s">
        <v>6</v>
      </c>
      <c r="F22" s="5"/>
      <c r="G22" s="5"/>
      <c r="H22">
        <v>800</v>
      </c>
      <c r="I22" s="5">
        <f t="shared" si="0"/>
        <v>699.81666666666661</v>
      </c>
      <c r="J22" s="6">
        <v>45</v>
      </c>
    </row>
    <row r="23" spans="1:10" ht="15.75" x14ac:dyDescent="0.25">
      <c r="A23">
        <v>366.15</v>
      </c>
      <c r="B23" s="5">
        <v>1.2799999999999999E-5</v>
      </c>
      <c r="F23" s="5"/>
      <c r="G23" s="5"/>
      <c r="H23">
        <v>1000</v>
      </c>
      <c r="I23" s="5">
        <f t="shared" si="0"/>
        <v>810.92777777777781</v>
      </c>
      <c r="J23" s="6">
        <v>46</v>
      </c>
    </row>
    <row r="24" spans="1:10" ht="15.75" x14ac:dyDescent="0.25">
      <c r="A24">
        <v>477.15</v>
      </c>
      <c r="B24" s="5">
        <v>1.31E-5</v>
      </c>
      <c r="F24" s="5"/>
      <c r="G24" s="5"/>
      <c r="H24">
        <v>1200</v>
      </c>
      <c r="I24" s="5">
        <f t="shared" si="0"/>
        <v>922.03888888888889</v>
      </c>
      <c r="J24" s="6">
        <v>47</v>
      </c>
    </row>
    <row r="25" spans="1:10" ht="15.75" x14ac:dyDescent="0.25">
      <c r="A25">
        <v>589.15</v>
      </c>
      <c r="B25" s="5">
        <v>1.33E-5</v>
      </c>
      <c r="F25" s="5"/>
      <c r="G25" s="5"/>
      <c r="H25">
        <v>1400</v>
      </c>
      <c r="I25" s="5">
        <f t="shared" si="0"/>
        <v>1033.1500000000001</v>
      </c>
      <c r="J25" s="6">
        <v>70</v>
      </c>
    </row>
    <row r="26" spans="1:10" ht="15.75" x14ac:dyDescent="0.25">
      <c r="A26">
        <v>700.15</v>
      </c>
      <c r="B26" s="5">
        <v>1.3699999999999999E-5</v>
      </c>
      <c r="F26" s="5"/>
      <c r="G26" s="5"/>
      <c r="H26">
        <v>1600</v>
      </c>
      <c r="I26" s="5">
        <f t="shared" si="0"/>
        <v>1144.2611111111112</v>
      </c>
      <c r="J26" s="6">
        <v>69</v>
      </c>
    </row>
    <row r="27" spans="1:10" ht="15.75" x14ac:dyDescent="0.25">
      <c r="A27">
        <v>811.15</v>
      </c>
      <c r="B27" s="5">
        <v>1.4E-5</v>
      </c>
      <c r="H27">
        <v>1800</v>
      </c>
      <c r="I27" s="5">
        <f t="shared" si="0"/>
        <v>1255.3722222222223</v>
      </c>
      <c r="J27" s="6">
        <v>108</v>
      </c>
    </row>
    <row r="28" spans="1:10" ht="15.75" x14ac:dyDescent="0.25">
      <c r="A28">
        <v>922.15</v>
      </c>
      <c r="B28" s="5">
        <v>1.4800000000000001E-5</v>
      </c>
      <c r="H28">
        <v>2000</v>
      </c>
      <c r="I28" s="5">
        <f t="shared" si="0"/>
        <v>1366.4833333333336</v>
      </c>
      <c r="J28" s="6">
        <v>89</v>
      </c>
    </row>
    <row r="29" spans="1:10" x14ac:dyDescent="0.25">
      <c r="A29">
        <v>1033.1500000000001</v>
      </c>
      <c r="B29" s="5">
        <v>1.5299999999999999E-5</v>
      </c>
    </row>
    <row r="30" spans="1:10" x14ac:dyDescent="0.25">
      <c r="A30">
        <v>1144.1500000000001</v>
      </c>
      <c r="B30" s="5">
        <v>1.5800000000000001E-5</v>
      </c>
    </row>
    <row r="31" spans="1:10" x14ac:dyDescent="0.25">
      <c r="A31">
        <v>1200.1500000000001</v>
      </c>
      <c r="B31" s="5">
        <v>1.6200000000000001E-5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Suppiah</dc:creator>
  <cp:lastModifiedBy>Grant Williams</cp:lastModifiedBy>
  <dcterms:created xsi:type="dcterms:W3CDTF">2023-10-13T19:11:22Z</dcterms:created>
  <dcterms:modified xsi:type="dcterms:W3CDTF">2026-02-15T01:25:30Z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2023-10-13T19:11:30Z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c640ed88-49ea-4b41-9cdb-aca2ba0003f6</vt:lpwstr>
  </property>
  <property fmtid="{D5CDD505-2E9C-101B-9397-08002B2CF9AE}" pid="8" name="MSIP_Label_4044bd30-2ed7-4c9d-9d12-46200872a97b_ContentBits">
    <vt:lpwstr>0</vt:lpwstr>
  </property>
</Properties>
</file>
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end\Box\PSP Active Controls\TOAD\Engine\Flight Chamber\Cooling Code\Material Data\"/>
    </mc:Choice>
  </mc:AlternateContent>
  <xr:revisionPtr revIDLastSave="0" documentId="13_ncr:1_{17A78EAB-6AF9-47B4-85E7-0A0CDFC6673B}" xr6:coauthVersionLast="47" xr6:coauthVersionMax="47" xr10:uidLastSave="{00000000-0000-0000-0000-000000000000}"/>
  <bookViews>
    <workbookView xWindow="-120" yWindow="-120" windowWidth="29040" windowHeight="15720" xr2:uid="{34498A9F-2ECF-4F9C-8A04-22EC23868B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C5" i="1" s="1"/>
  <c r="A4" i="1"/>
  <c r="A3" i="1"/>
  <c r="C3" i="1" s="1"/>
  <c r="A2" i="1"/>
  <c r="C2" i="1" s="1"/>
  <c r="C4" i="1"/>
</calcChain>
</file>

<file path=xl/sharedStrings.xml><?xml version="1.0" encoding="utf-8"?>
<sst xmlns="http://schemas.openxmlformats.org/spreadsheetml/2006/main" count="9" uniqueCount="9">
  <si>
    <t>Temp (K)</t>
  </si>
  <si>
    <t>Thermal Conductivity (W/m*k)</t>
  </si>
  <si>
    <t>Elongation</t>
  </si>
  <si>
    <t>Yield Strength (MPa)</t>
  </si>
  <si>
    <t>CTE (K^-1)</t>
  </si>
  <si>
    <t>Young's Modulus € (Pa)</t>
  </si>
  <si>
    <t>All values from Elementum3D</t>
  </si>
  <si>
    <t>https://www.elementum3d.com/wp-content/uploads/2024/10/MKT-EXT-00474-IN625-RAM2-Web-Data-Sheet.pdf</t>
  </si>
  <si>
    <t>elongation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</si>
</sst>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21252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164" fontId="0" fillId="0" borderId="2" xfId="0" applyNumberFormat="1" applyBorder="1" applyAlignment="1">
      <alignment horizontal="center"/>
    </xf>
    <xf numFmtId="0" fontId="1" fillId="0" borderId="0" xfId="1"/>
    <xf numFmtId="11" fontId="0" fillId="0" borderId="0" xfId="0" applyNumberFormat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66AC5-B53F-4C28-BBC3-0059A439BC1A}">
  <dimension ref="A1:L31"/>
  <sheetViews>
    <sheetView tabSelected="1" workbookViewId="0">
      <selection activeCell="H15" sqref="H14:H15"/>
    </sheetView>
  </sheetViews>
  <sheetFormatPr defaultRowHeight="15" x14ac:dyDescent="0.25"/>
  <cols>
    <col min="1" max="1" width="9.140625" customWidth="1"/>
    <col min="2" max="2" width="14.140625" customWidth="1"/>
    <col min="3" max="3" width="11.85546875" customWidth="1"/>
    <col min="4" max="4" width="21.140625" customWidth="1"/>
    <col min="5" max="5" width="14.85546875" customWidth="1"/>
    <col min="6" max="6" width="15" customWidth="1"/>
    <col min="7" max="7" width="22.7109375" customWidth="1"/>
    <col min="8" max="8" width="22.42578125" customWidth="1"/>
    <col min="9" max="9" width="12.42578125" customWidth="1"/>
    <col min="10" max="10" width="17.140625" customWidth="1"/>
    <col min="11" max="12" width="11.7109375" bestFit="1" customWidth="1"/>
  </cols>
  <sheetData>
    <row r="1" spans="1:12" s="1" customFormat="1" ht="29.65" customHeight="1" x14ac:dyDescent="0.25">
      <c r="A1" s="1" t="s">
        <v>0</v>
      </c>
      <c r="B1" s="1" t="s">
        <v>3</v>
      </c>
      <c r="C1" s="1" t="s">
        <v>2</v>
      </c>
      <c r="E1" s="2" t="s">
        <v>5</v>
      </c>
      <c r="G1" s="1" t="s">
        <v>8</v>
      </c>
      <c r="I1"/>
      <c r="J1"/>
    </row>
    <row r="2" spans="1:12" x14ac:dyDescent="0.25">
      <c r="A2">
        <f>25+273.15</f>
        <v>298.14999999999998</v>
      </c>
      <c r="B2">
        <v>732</v>
      </c>
      <c r="C2">
        <f>0.0587*A2+9.5453</f>
        <v>27.046704999999996</v>
      </c>
      <c r="E2">
        <v>162000000000</v>
      </c>
      <c r="G2">
        <v>26</v>
      </c>
      <c r="K2" s="3"/>
      <c r="L2" t="s">
        <v>6</v>
      </c>
    </row>
    <row r="3" spans="1:12" x14ac:dyDescent="0.25">
      <c r="A3">
        <f>760+273.15</f>
        <v>1033.1500000000001</v>
      </c>
      <c r="B3">
        <v>481</v>
      </c>
      <c r="C3">
        <f>0.0587*A3+9.5453</f>
        <v>70.191205000000011</v>
      </c>
      <c r="E3">
        <v>124000000000</v>
      </c>
      <c r="G3">
        <v>59</v>
      </c>
      <c r="K3" s="3"/>
      <c r="L3" s="4" t="s">
        <v>7</v>
      </c>
    </row>
    <row r="4" spans="1:12" x14ac:dyDescent="0.25">
      <c r="A4">
        <f>870+273.15</f>
        <v>1143.1500000000001</v>
      </c>
      <c r="B4">
        <v>230</v>
      </c>
      <c r="C4">
        <f>0.0587*A4+9.5453</f>
        <v>76.648205000000004</v>
      </c>
      <c r="E4">
        <v>57000000000</v>
      </c>
      <c r="G4">
        <v>67</v>
      </c>
      <c r="K4" s="3"/>
    </row>
    <row r="5" spans="1:12" x14ac:dyDescent="0.25">
      <c r="A5">
        <f>980+273.15</f>
        <v>1253.1500000000001</v>
      </c>
      <c r="B5">
        <v>120</v>
      </c>
      <c r="C5">
        <f>0.0587*A5+9.5453</f>
        <v>83.105205000000012</v>
      </c>
      <c r="E5">
        <v>38000000000</v>
      </c>
      <c r="G5">
        <v>75</v>
      </c>
      <c r="K5" s="3"/>
    </row>
    <row r="6" spans="1:12" x14ac:dyDescent="0.25">
      <c r="K6" s="3"/>
    </row>
    <row r="7" spans="1:12" x14ac:dyDescent="0.25">
      <c r="K7" s="3"/>
    </row>
    <row r="8" spans="1:12" ht="45" x14ac:dyDescent="0.25">
      <c r="B8" s="1" t="s">
        <v>1</v>
      </c>
    </row>
    <row r="9" spans="1:12" x14ac:dyDescent="0.25">
      <c r="A9">
        <v>255.14999999999998</v>
      </c>
      <c r="B9">
        <v>9.1999999999999993</v>
      </c>
    </row>
    <row r="10" spans="1:12" x14ac:dyDescent="0.25">
      <c r="A10">
        <v>294.14999999999998</v>
      </c>
      <c r="B10">
        <v>9.8000000000000007</v>
      </c>
    </row>
    <row r="11" spans="1:12" x14ac:dyDescent="0.25">
      <c r="A11">
        <v>311.14999999999998</v>
      </c>
      <c r="B11">
        <v>10.1</v>
      </c>
    </row>
    <row r="12" spans="1:12" x14ac:dyDescent="0.25">
      <c r="A12">
        <v>366.15</v>
      </c>
      <c r="B12">
        <v>10.8</v>
      </c>
    </row>
    <row r="13" spans="1:12" x14ac:dyDescent="0.25">
      <c r="A13">
        <v>477.15</v>
      </c>
      <c r="B13">
        <v>12.5</v>
      </c>
    </row>
    <row r="14" spans="1:12" x14ac:dyDescent="0.25">
      <c r="A14">
        <v>589.15</v>
      </c>
      <c r="B14">
        <v>14.1</v>
      </c>
      <c r="C14" s="4"/>
    </row>
    <row r="15" spans="1:12" x14ac:dyDescent="0.25">
      <c r="A15">
        <v>700.15</v>
      </c>
      <c r="B15">
        <v>15.7</v>
      </c>
    </row>
    <row r="16" spans="1:12" x14ac:dyDescent="0.25">
      <c r="A16">
        <v>811.15</v>
      </c>
      <c r="B16">
        <v>17.5</v>
      </c>
    </row>
    <row r="17" spans="1:10" x14ac:dyDescent="0.25">
      <c r="A17">
        <v>922.15</v>
      </c>
      <c r="B17">
        <v>19</v>
      </c>
    </row>
    <row r="18" spans="1:10" x14ac:dyDescent="0.25">
      <c r="A18">
        <v>1033.1500000000001</v>
      </c>
      <c r="B18">
        <v>20.8</v>
      </c>
      <c r="F18" s="5"/>
      <c r="G18" s="5"/>
      <c r="I18" s="5"/>
      <c r="J18" s="5"/>
    </row>
    <row r="19" spans="1:10" ht="15.75" x14ac:dyDescent="0.25">
      <c r="A19">
        <v>1144.1500000000001</v>
      </c>
      <c r="B19">
        <v>22.8</v>
      </c>
      <c r="F19" s="5"/>
      <c r="G19" s="5"/>
      <c r="I19" s="5"/>
      <c r="J19" s="6"/>
    </row>
    <row r="20" spans="1:10" ht="15.75" x14ac:dyDescent="0.25">
      <c r="A20">
        <v>1255.1500000000001</v>
      </c>
      <c r="B20">
        <v>25.2</v>
      </c>
      <c r="F20" s="5"/>
      <c r="G20" s="5"/>
      <c r="I20" s="5"/>
      <c r="J20" s="6"/>
    </row>
    <row r="21" spans="1:10" ht="15.75" x14ac:dyDescent="0.25">
      <c r="F21" s="5"/>
      <c r="G21" s="5"/>
      <c r="I21" s="5"/>
      <c r="J21" s="6"/>
    </row>
    <row r="22" spans="1:10" ht="15.75" x14ac:dyDescent="0.25">
      <c r="B22" t="s">
        <v>4</v>
      </c>
      <c r="F22" s="5"/>
      <c r="G22" s="5"/>
      <c r="I22" s="5"/>
      <c r="J22" s="6"/>
    </row>
    <row r="23" spans="1:10" ht="15.75" x14ac:dyDescent="0.25">
      <c r="A23">
        <v>366.15</v>
      </c>
      <c r="B23" s="5">
        <v>1.2799999999999999E-5</v>
      </c>
      <c r="F23" s="5"/>
      <c r="G23" s="5"/>
      <c r="I23" s="5"/>
      <c r="J23" s="6"/>
    </row>
    <row r="24" spans="1:10" ht="15.75" x14ac:dyDescent="0.25">
      <c r="A24">
        <v>477.15</v>
      </c>
      <c r="B24" s="5">
        <v>1.31E-5</v>
      </c>
      <c r="F24" s="5"/>
      <c r="G24" s="5"/>
      <c r="I24" s="5"/>
      <c r="J24" s="6"/>
    </row>
    <row r="25" spans="1:10" ht="15.75" x14ac:dyDescent="0.25">
      <c r="A25">
        <v>589.15</v>
      </c>
      <c r="B25" s="5">
        <v>1.33E-5</v>
      </c>
      <c r="F25" s="5"/>
      <c r="G25" s="5"/>
      <c r="I25" s="5"/>
      <c r="J25" s="6"/>
    </row>
    <row r="26" spans="1:10" ht="15.75" x14ac:dyDescent="0.25">
      <c r="A26">
        <v>700.15</v>
      </c>
      <c r="B26" s="5">
        <v>1.3699999999999999E-5</v>
      </c>
      <c r="F26" s="5"/>
      <c r="G26" s="5"/>
      <c r="I26" s="5"/>
      <c r="J26" s="6"/>
    </row>
    <row r="27" spans="1:10" ht="15.75" x14ac:dyDescent="0.25">
      <c r="A27">
        <v>811.15</v>
      </c>
      <c r="B27" s="5">
        <v>1.4E-5</v>
      </c>
      <c r="I27" s="5"/>
      <c r="J27" s="6"/>
    </row>
    <row r="28" spans="1:10" ht="15.75" x14ac:dyDescent="0.25">
      <c r="A28">
        <v>922.15</v>
      </c>
      <c r="B28" s="5">
        <v>1.4800000000000001E-5</v>
      </c>
      <c r="I28" s="5"/>
      <c r="J28" s="6"/>
    </row>
    <row r="29" spans="1:10" x14ac:dyDescent="0.25">
      <c r="A29">
        <v>1033.1500000000001</v>
      </c>
      <c r="B29" s="5">
        <v>1.5299999999999999E-5</v>
      </c>
    </row>
    <row r="30" spans="1:10" x14ac:dyDescent="0.25">
      <c r="A30">
        <v>1144.1500000000001</v>
      </c>
      <c r="B30" s="5">
        <v>1.5800000000000001E-5</v>
      </c>
    </row>
    <row r="31" spans="1:10" x14ac:dyDescent="0.25">
      <c r="A31">
        <v>1200.1500000000001</v>
      </c>
      <c r="B31" s="5">
        <v>1.6200000000000001E-5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Suppiah</dc:creator>
  <cp:lastModifiedBy>Adam Richard Grendys</cp:lastModifiedBy>
  <dcterms:created xsi:type="dcterms:W3CDTF">2023-10-13T19:11:22Z</dcterms:created>
  <dcterms:modified xsi:type="dcterms:W3CDTF">2026-04-13T05:07:16Z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44bd30-2ed7-4c9d-9d12-46200872a97b_Enabled">
    <vt:lpwstr>true</vt:lpwstr>
  </property>
  <property fmtid="{D5CDD505-2E9C-101B-9397-08002B2CF9AE}" pid="3" name="MSIP_Label_4044bd30-2ed7-4c9d-9d12-46200872a97b_SetDate">
    <vt:lpwstr>2023-10-13T19:11:30Z</vt:lpwstr>
  </property>
  <property fmtid="{D5CDD505-2E9C-101B-9397-08002B2CF9AE}" pid="4" name="MSIP_Label_4044bd30-2ed7-4c9d-9d12-46200872a97b_Method">
    <vt:lpwstr>Standard</vt:lpwstr>
  </property>
  <property fmtid="{D5CDD505-2E9C-101B-9397-08002B2CF9AE}" pid="5" name="MSIP_Label_4044bd30-2ed7-4c9d-9d12-46200872a97b_Name">
    <vt:lpwstr>defa4170-0d19-0005-0004-bc88714345d2</vt:lpwstr>
  </property>
  <property fmtid="{D5CDD505-2E9C-101B-9397-08002B2CF9AE}" pid="6" name="MSIP_Label_4044bd30-2ed7-4c9d-9d12-46200872a97b_SiteId">
    <vt:lpwstr>4130bd39-7c53-419c-b1e5-8758d6d63f21</vt:lpwstr>
  </property>
  <property fmtid="{D5CDD505-2E9C-101B-9397-08002B2CF9AE}" pid="7" name="MSIP_Label_4044bd30-2ed7-4c9d-9d12-46200872a97b_ActionId">
    <vt:lpwstr>c640ed88-49ea-4b41-9cdb-aca2ba0003f6</vt:lpwstr>
  </property>
  <property fmtid="{D5CDD505-2E9C-101B-9397-08002B2CF9AE}" pid="8" name="MSIP_Label_4044bd30-2ed7-4c9d-9d12-46200872a97b_ContentBits">
    <vt:lpwstr>0</vt:lpwstr>
  </property>
</Properties>
</file>
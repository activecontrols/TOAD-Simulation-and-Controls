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ant Williams\Box\PSP Active Controls\TOAD\Engine\Flight Chamber\Cooling Code\Material Data\"/>
    </mc:Choice>
  </mc:AlternateContent>
  <xr:revisionPtr revIDLastSave="0" documentId="13_ncr:1_{85DBD8E7-C75F-4BAE-AAEC-94655C2A991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8" i="1"/>
  <c r="F2" i="1" l="1"/>
  <c r="C7" i="1"/>
  <c r="C6" i="1"/>
  <c r="C5" i="1"/>
  <c r="C4" i="1"/>
  <c r="C3" i="1"/>
  <c r="C2" i="1"/>
  <c r="F3" i="1"/>
  <c r="F4" i="1"/>
  <c r="F5" i="1"/>
  <c r="F6" i="1"/>
  <c r="F7" i="1"/>
  <c r="F8" i="1"/>
</calcChain>
</file>

<file path=xl/sharedStrings.xml><?xml version="1.0" encoding="utf-8"?>
<sst xmlns="http://schemas.openxmlformats.org/spreadsheetml/2006/main" count="26" uniqueCount="13">
  <si>
    <t>Temp (K)</t>
  </si>
  <si>
    <t>Young's Modulus</t>
  </si>
  <si>
    <t> </t>
  </si>
  <si>
    <t>Thermal Conductivity (W/m*K)</t>
  </si>
  <si>
    <t>Ultimate Tensile (MPa)</t>
  </si>
  <si>
    <t>Elongation</t>
  </si>
  <si>
    <t>Tangent Modulus (Mpa) (=D/E)</t>
  </si>
  <si>
    <t>Yield Strength (MPa)</t>
  </si>
  <si>
    <r>
      <t>CTE (</t>
    </r>
    <r>
      <rPr>
        <sz val="11"/>
        <color theme="1"/>
        <rFont val="Aptos Narrow"/>
        <family val="2"/>
        <scheme val="minor"/>
      </rPr>
      <t>ppm/C</t>
    </r>
    <r>
      <rPr>
        <b/>
        <sz val="11"/>
        <color theme="1"/>
        <rFont val="Aptos Narrow"/>
        <family val="2"/>
        <scheme val="minor"/>
      </rPr>
      <t>)</t>
    </r>
  </si>
  <si>
    <t>https://ntrs.nasa.gov/api/citations/19750021165/downloads/19750021165.pdf</t>
  </si>
  <si>
    <t>https://digital.library.unt.edu/ark:/67531/metadc829254/m2/1/high_res_d/1036615.pdf</t>
  </si>
  <si>
    <t>https://apps.dtic.mil/sti/tr/pdf/AD0467015.pdf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</si>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</sst>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1"/>
    <xf numFmtId="0" fontId="1" fillId="0" borderId="4" xfId="0" applyFont="1" applyBorder="1"/>
    <xf numFmtId="0" fontId="1" fillId="0" borderId="0" xfId="0" applyFont="1" applyAlignment="1">
      <alignment wrapText="1"/>
    </xf>
    <xf numFmtId="11" fontId="1" fillId="0" borderId="0" xfId="0" applyNumberFormat="1" applyFont="1"/>
    <xf numFmtId="0" fontId="1" fillId="0" borderId="5" xfId="0" applyFont="1" applyBorder="1"/>
    <xf numFmtId="11" fontId="1" fillId="0" borderId="3" xfId="0" applyNumberFormat="1" applyFont="1" applyBorder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wrapText="1"/>
    </xf>
    <xf numFmtId="0" fontId="2" fillId="0" borderId="6" xfId="0" applyFont="1" applyBorder="1"/>
    <xf numFmtId="0" fontId="0" fillId="0" borderId="7" xfId="0" applyBorder="1" applyAlignment="1">
      <alignment wrapText="1"/>
    </xf>
    <xf numFmtId="0" fontId="2" fillId="0" borderId="7" xfId="0" applyFont="1" applyBorder="1"/>
    <xf numFmtId="0" fontId="0" fillId="0" borderId="8" xfId="0" applyBorder="1" applyAlignment="1">
      <alignment wrapText="1"/>
    </xf>
    <xf numFmtId="0" fontId="2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L31" sqref="L31"/>
    </sheetView>
  </sheetViews>
  <sheetFormatPr defaultRowHeight="15" x14ac:dyDescent="0.25"/>
  <cols>
    <col min="2" max="2" width="17.85546875" customWidth="1"/>
    <col min="3" max="3" width="16" customWidth="1"/>
    <col min="4" max="4" width="20.28515625" customWidth="1"/>
    <col min="5" max="5" width="9.42578125" customWidth="1"/>
    <col min="6" max="6" width="25.140625" customWidth="1"/>
    <col min="17" max="17" width="12.7109375" bestFit="1" customWidth="1"/>
    <col min="20" max="20" width="12" bestFit="1" customWidth="1"/>
  </cols>
  <sheetData>
    <row r="1" spans="1:11" ht="21.95" customHeight="1" x14ac:dyDescent="0.25">
      <c r="A1" s="19" t="s">
        <v>0</v>
      </c>
      <c r="B1" s="20" t="s">
        <v>7</v>
      </c>
      <c r="C1" s="21" t="s">
        <v>8</v>
      </c>
      <c r="D1" s="20" t="s">
        <v>4</v>
      </c>
      <c r="E1" s="20" t="s">
        <v>5</v>
      </c>
      <c r="F1" s="22" t="s">
        <v>6</v>
      </c>
      <c r="G1" s="4"/>
      <c r="H1" s="7"/>
      <c r="I1" s="16" t="s">
        <v>0</v>
      </c>
      <c r="J1" s="17" t="s">
        <v>1</v>
      </c>
      <c r="K1" s="18"/>
    </row>
    <row r="2" spans="1:11" x14ac:dyDescent="0.25">
      <c r="A2" s="11">
        <v>255.37222222222221</v>
      </c>
      <c r="B2">
        <v>65</v>
      </c>
      <c r="C2">
        <f>(10^-6) *(-2.04+0.16*A2-0.000542 *A2^2 + 0.0000009 * A2^3 -0.000000000718 * A2^4 + 0.000000000000221 *A2^5)</f>
        <v>1.5648102452865609E-5</v>
      </c>
      <c r="D2">
        <v>240</v>
      </c>
      <c r="E2">
        <v>0.4</v>
      </c>
      <c r="F2" s="12">
        <f>D2/E2</f>
        <v>600</v>
      </c>
      <c r="H2" s="1" t="s">
        <v>2</v>
      </c>
      <c r="I2">
        <v>255.37222222222221</v>
      </c>
      <c r="J2" s="8">
        <v>117210873984</v>
      </c>
      <c r="K2" s="9" t="s">
        <v>2</v>
      </c>
    </row>
    <row r="3" spans="1:11" x14ac:dyDescent="0.25">
      <c r="A3" s="11">
        <v>310.92777777777775</v>
      </c>
      <c r="B3">
        <v>64</v>
      </c>
      <c r="C3">
        <f t="shared" ref="C3:C9" si="0">(10^-6) *(-2.04+0.16*A3-0.000542 *A3^2 + 0.0000009 * A3^3 -0.000000000718 * A3^4 + 0.000000000000221 *A3^5)</f>
        <v>1.6294969824355992E-5</v>
      </c>
      <c r="D3">
        <v>210</v>
      </c>
      <c r="E3">
        <v>0.4</v>
      </c>
      <c r="F3" s="12">
        <f t="shared" ref="F3:F9" si="1">D3/E3</f>
        <v>525</v>
      </c>
      <c r="H3" s="1" t="s">
        <v>2</v>
      </c>
      <c r="I3">
        <v>310.92777777777775</v>
      </c>
      <c r="J3" s="8">
        <v>117210873984</v>
      </c>
      <c r="K3" s="9" t="s">
        <v>2</v>
      </c>
    </row>
    <row r="4" spans="1:11" x14ac:dyDescent="0.25">
      <c r="A4" s="11">
        <v>366.48333333333335</v>
      </c>
      <c r="B4">
        <v>63</v>
      </c>
      <c r="C4">
        <f t="shared" si="0"/>
        <v>1.6610354543822579E-5</v>
      </c>
      <c r="D4">
        <v>193</v>
      </c>
      <c r="E4">
        <v>0.4</v>
      </c>
      <c r="F4" s="12">
        <f t="shared" si="1"/>
        <v>482.5</v>
      </c>
      <c r="H4" s="1" t="s">
        <v>2</v>
      </c>
      <c r="I4">
        <v>366.48333333333335</v>
      </c>
      <c r="J4" s="8">
        <v>113763495337</v>
      </c>
      <c r="K4" s="9" t="s">
        <v>2</v>
      </c>
    </row>
    <row r="5" spans="1:11" x14ac:dyDescent="0.25">
      <c r="A5" s="11">
        <v>422.03888888888889</v>
      </c>
      <c r="B5">
        <v>62</v>
      </c>
      <c r="C5">
        <f t="shared" si="0"/>
        <v>1.6781990462389718E-5</v>
      </c>
      <c r="D5">
        <v>170</v>
      </c>
      <c r="E5">
        <v>0.4</v>
      </c>
      <c r="F5" s="12">
        <f t="shared" si="1"/>
        <v>425</v>
      </c>
      <c r="H5" s="1" t="s">
        <v>2</v>
      </c>
      <c r="I5">
        <v>422.03888888888889</v>
      </c>
      <c r="J5" s="8">
        <v>108937165232</v>
      </c>
      <c r="K5" s="9" t="s">
        <v>2</v>
      </c>
    </row>
    <row r="6" spans="1:11" x14ac:dyDescent="0.25">
      <c r="A6" s="11">
        <v>477.59444444444443</v>
      </c>
      <c r="B6">
        <v>61</v>
      </c>
      <c r="C6">
        <f t="shared" si="0"/>
        <v>1.6926044006246618E-5</v>
      </c>
      <c r="D6">
        <v>150</v>
      </c>
      <c r="E6">
        <v>0.5</v>
      </c>
      <c r="F6" s="12">
        <f t="shared" si="1"/>
        <v>300</v>
      </c>
      <c r="H6" s="1" t="s">
        <v>2</v>
      </c>
      <c r="I6">
        <v>477.59444444444443</v>
      </c>
      <c r="J6" s="8">
        <v>104800310856</v>
      </c>
      <c r="K6" s="9" t="s">
        <v>2</v>
      </c>
    </row>
    <row r="7" spans="1:11" x14ac:dyDescent="0.25">
      <c r="A7" s="11">
        <v>533.15</v>
      </c>
      <c r="B7">
        <v>60</v>
      </c>
      <c r="C7">
        <f t="shared" si="0"/>
        <v>1.7101149130668438E-5</v>
      </c>
      <c r="D7">
        <v>145</v>
      </c>
      <c r="E7">
        <v>0.55000000000000004</v>
      </c>
      <c r="F7" s="12">
        <f t="shared" si="1"/>
        <v>263.63636363636363</v>
      </c>
      <c r="H7" s="1" t="s">
        <v>2</v>
      </c>
      <c r="I7" s="2"/>
      <c r="J7" s="8"/>
      <c r="K7" s="9" t="s">
        <v>2</v>
      </c>
    </row>
    <row r="8" spans="1:11" x14ac:dyDescent="0.25">
      <c r="A8" s="11">
        <v>810.9</v>
      </c>
      <c r="B8">
        <v>50</v>
      </c>
      <c r="C8">
        <f t="shared" si="0"/>
        <v>1.8235690777716258E-5</v>
      </c>
      <c r="D8">
        <v>68.900000000000006</v>
      </c>
      <c r="E8">
        <v>0.6</v>
      </c>
      <c r="F8" s="12">
        <f t="shared" si="1"/>
        <v>114.83333333333334</v>
      </c>
      <c r="H8" s="1"/>
      <c r="I8" s="2"/>
      <c r="J8" s="8"/>
      <c r="K8" s="9"/>
    </row>
    <row r="9" spans="1:11" x14ac:dyDescent="0.25">
      <c r="A9" s="13"/>
      <c r="B9" s="14"/>
      <c r="C9" s="14"/>
      <c r="D9" s="14"/>
      <c r="E9" s="14"/>
      <c r="F9" s="15"/>
      <c r="H9" s="1"/>
      <c r="I9" s="3"/>
      <c r="J9" s="10"/>
      <c r="K9" s="6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J10" s="8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J11" s="8"/>
      <c r="K11" s="1"/>
    </row>
    <row r="12" spans="1:11" x14ac:dyDescent="0.25">
      <c r="A12" s="1"/>
      <c r="B12" s="1"/>
      <c r="C12" s="1"/>
      <c r="D12" s="1"/>
      <c r="E12" s="1" t="s">
        <v>12</v>
      </c>
      <c r="F12" s="1"/>
      <c r="G12" s="1"/>
      <c r="H12" s="1"/>
      <c r="J12" s="8"/>
      <c r="K12" s="1"/>
    </row>
    <row r="13" spans="1:11" x14ac:dyDescent="0.25">
      <c r="A13" s="19" t="s">
        <v>0</v>
      </c>
      <c r="B13" s="23" t="s">
        <v>3</v>
      </c>
      <c r="C13" s="1"/>
      <c r="D13" s="1"/>
      <c r="E13" s="1" t="s">
        <v>9</v>
      </c>
      <c r="F13" s="1"/>
      <c r="G13" s="1"/>
      <c r="H13" s="1"/>
      <c r="J13" s="8"/>
      <c r="K13" s="1"/>
    </row>
    <row r="14" spans="1:11" x14ac:dyDescent="0.25">
      <c r="A14" s="11">
        <v>255.37222222222221</v>
      </c>
      <c r="B14" s="12">
        <v>378.77740802639994</v>
      </c>
      <c r="C14" s="1"/>
      <c r="D14" s="5"/>
      <c r="E14" s="1" t="s">
        <v>10</v>
      </c>
      <c r="F14" s="1"/>
      <c r="G14" s="1"/>
      <c r="H14" s="1"/>
      <c r="J14" s="8"/>
      <c r="K14" s="1"/>
    </row>
    <row r="15" spans="1:11" x14ac:dyDescent="0.25">
      <c r="A15" s="11">
        <v>310.92777777777775</v>
      </c>
      <c r="B15" s="12">
        <v>374.32992378342851</v>
      </c>
      <c r="C15" s="1"/>
      <c r="D15" s="1"/>
      <c r="E15" s="1" t="s">
        <v>11</v>
      </c>
      <c r="F15" s="1"/>
      <c r="G15" s="1"/>
      <c r="H15" s="1"/>
      <c r="I15" s="1"/>
      <c r="J15" s="1"/>
      <c r="K15" s="1"/>
    </row>
    <row r="16" spans="1:11" x14ac:dyDescent="0.25">
      <c r="A16" s="11">
        <v>366.48333333333335</v>
      </c>
      <c r="B16" s="12">
        <v>369.88243954045709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1">
        <v>422.03888888888889</v>
      </c>
      <c r="B17" s="12">
        <v>365.43495529748566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1">
        <v>477.59444444444443</v>
      </c>
      <c r="B18" s="12">
        <v>360.98747105451429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1">
        <v>533.15</v>
      </c>
      <c r="B19" s="12">
        <v>356.53998681154286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1">
        <v>588.70555555555552</v>
      </c>
      <c r="B20" s="12">
        <v>352.09250256857143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1">
        <v>644.26111111111118</v>
      </c>
      <c r="B21" s="12">
        <v>347.64501832560001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3">
        <v>810.9</v>
      </c>
      <c r="B22" s="15">
        <f>B21</f>
        <v>347.64501832560001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Grant Williams</cp:lastModifiedBy>
  <cp:revision/>
  <dcterms:created xsi:type="dcterms:W3CDTF">2024-09-14T17:20:50Z</dcterms:created>
  <dcterms:modified xsi:type="dcterms:W3CDTF">2026-04-25T20:48:38Z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2025-04-08T21:24:25Z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5fcd2bed-9aae-4c48-9c29-e45187955709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
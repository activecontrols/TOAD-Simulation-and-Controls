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rant Williams\Box\PSP Active Controls\TOAD\Engine\Flight Chamber\Cooling Code\Material Data\"/>
    </mc:Choice>
  </mc:AlternateContent>
  <xr:revisionPtr revIDLastSave="0" documentId="13_ncr:1_{09B0600D-E5F6-453C-AF44-5A5BC4D4BD29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/>
  <c r="J6" i="1"/>
  <c r="J5" i="1"/>
  <c r="J4" i="1"/>
  <c r="I7" i="1"/>
  <c r="I6" i="1"/>
  <c r="I5" i="1"/>
  <c r="I4" i="1"/>
  <c r="I3" i="1"/>
  <c r="J3" i="1"/>
  <c r="J2" i="1"/>
  <c r="F2" i="1" l="1"/>
  <c r="C5" i="1"/>
  <c r="C4" i="1"/>
  <c r="C3" i="1"/>
  <c r="C2" i="1"/>
  <c r="F3" i="1"/>
  <c r="F4" i="1"/>
  <c r="F5" i="1"/>
</calcChain>
</file>

<file path=xl/sharedStrings.xml><?xml version="1.0" encoding="utf-8"?>
<sst xmlns="http://schemas.openxmlformats.org/spreadsheetml/2006/main" count="26" uniqueCount="13">
  <si>
    <t>Temp (K)</t>
  </si>
  <si>
    <t>Young's Modulus</t>
  </si>
  <si>
    <t> </t>
  </si>
  <si>
    <t>Thermal Conductivity (W/m*K)</t>
  </si>
  <si>
    <t>Ultimate Tensile (MPa)</t>
  </si>
  <si>
    <t>Elongation</t>
  </si>
  <si>
    <t>Tangent Modulus (Mpa) (=D/E)</t>
  </si>
  <si>
    <t>Yield Strength (MPa)</t>
  </si>
  <si>
    <r>
      <t>CTE (</t>
    </r>
    <r>
      <rPr>
        <sz val="11"/>
        <color theme="1"/>
        <rFont val="Aptos Narrow"/>
        <family val="2"/>
        <scheme val="minor"/>
      </rPr>
      <t>ppm/C</t>
    </r>
    <r>
      <rPr>
        <b/>
        <sz val="11"/>
        <color theme="1"/>
        <rFont val="Aptos Narrow"/>
        <family val="2"/>
        <scheme val="minor"/>
      </rPr>
      <t>)</t>
    </r>
  </si>
  <si>
    <t>Sources</t>
  </si>
  <si>
    <t>https://www.mdpi.com/1996-1944/15/20/7386</t>
  </si>
  <si>
    <t>https://backend.orbit.dtu.dk/ws/portalfiles/portal/222710402/Thermal_properties_JMEP_postprint.pdf</t>
  </si>
  <si>
    <t>https://www.researchgate.net/publication/400173680_A_Comparative_Study_and_Introduction_of_a_New_Heat_Source_Model_for_the_Macro-Scale_Numerical_Simulation_of_Selective_Laser_Melting_Technology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</si>
</sst>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2" fillId="0" borderId="0" xfId="0" applyFont="1"/>
    <xf numFmtId="0" fontId="3" fillId="0" borderId="0" xfId="1"/>
    <xf numFmtId="0" fontId="1" fillId="0" borderId="4" xfId="0" applyFont="1" applyBorder="1"/>
    <xf numFmtId="0" fontId="1" fillId="0" borderId="0" xfId="0" applyFont="1" applyAlignment="1">
      <alignment wrapText="1"/>
    </xf>
    <xf numFmtId="11" fontId="1" fillId="0" borderId="0" xfId="0" applyNumberFormat="1" applyFont="1"/>
    <xf numFmtId="0" fontId="1" fillId="0" borderId="5" xfId="0" applyFont="1" applyBorder="1"/>
    <xf numFmtId="11" fontId="1" fillId="0" borderId="3" xfId="0" applyNumberFormat="1" applyFont="1" applyBorder="1"/>
    <xf numFmtId="0" fontId="0" fillId="0" borderId="1" xfId="0" applyBorder="1"/>
    <xf numFmtId="0" fontId="0" fillId="0" borderId="5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 applyAlignment="1">
      <alignment wrapText="1"/>
    </xf>
    <xf numFmtId="0" fontId="2" fillId="0" borderId="6" xfId="0" applyFont="1" applyBorder="1"/>
    <xf numFmtId="0" fontId="0" fillId="0" borderId="7" xfId="0" applyBorder="1" applyAlignment="1">
      <alignment wrapText="1"/>
    </xf>
    <xf numFmtId="0" fontId="2" fillId="0" borderId="7" xfId="0" applyFont="1" applyBorder="1"/>
    <xf numFmtId="0" fontId="0" fillId="0" borderId="8" xfId="0" applyBorder="1" applyAlignment="1">
      <alignment wrapText="1"/>
    </xf>
    <xf numFmtId="0" fontId="2" fillId="0" borderId="8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zoomScale="119" workbookViewId="0">
      <selection activeCell="F22" sqref="F22"/>
    </sheetView>
  </sheetViews>
  <sheetFormatPr defaultRowHeight="15" x14ac:dyDescent="0.25"/>
  <cols>
    <col min="2" max="2" width="17.85546875" customWidth="1"/>
    <col min="3" max="3" width="16" customWidth="1"/>
    <col min="4" max="4" width="20.28515625" customWidth="1"/>
    <col min="5" max="5" width="9.42578125" customWidth="1"/>
    <col min="6" max="6" width="25.140625" customWidth="1"/>
    <col min="17" max="17" width="12.7109375" bestFit="1" customWidth="1"/>
    <col min="20" max="20" width="12" bestFit="1" customWidth="1"/>
  </cols>
  <sheetData>
    <row r="1" spans="1:11" ht="21.95" customHeight="1" x14ac:dyDescent="0.25">
      <c r="A1" s="19" t="s">
        <v>0</v>
      </c>
      <c r="B1" s="20" t="s">
        <v>7</v>
      </c>
      <c r="C1" s="21" t="s">
        <v>8</v>
      </c>
      <c r="D1" s="20" t="s">
        <v>4</v>
      </c>
      <c r="E1" s="20" t="s">
        <v>5</v>
      </c>
      <c r="F1" s="22" t="s">
        <v>6</v>
      </c>
      <c r="G1" s="4"/>
      <c r="H1" s="7"/>
      <c r="I1" s="16" t="s">
        <v>0</v>
      </c>
      <c r="J1" s="17" t="s">
        <v>1</v>
      </c>
      <c r="K1" s="18"/>
    </row>
    <row r="2" spans="1:11" x14ac:dyDescent="0.25">
      <c r="A2" s="11">
        <v>294.14999999999998</v>
      </c>
      <c r="B2">
        <v>165</v>
      </c>
      <c r="C2">
        <f>(10^-6) *(-2.04+0.16*A2-0.000542 *A2^2 + 0.0000009 * A2^3 -0.000000000718 * A2^4 + 0.000000000000221 *A2^5)</f>
        <v>1.6145268951854361E-5</v>
      </c>
      <c r="D2">
        <v>275</v>
      </c>
      <c r="E2">
        <v>0.06</v>
      </c>
      <c r="F2" s="12">
        <f>D2/E2</f>
        <v>4583.3333333333339</v>
      </c>
      <c r="H2" s="1" t="s">
        <v>2</v>
      </c>
      <c r="I2">
        <v>273.14999999999998</v>
      </c>
      <c r="J2" s="8">
        <f>75*10^9</f>
        <v>75000000000</v>
      </c>
      <c r="K2" s="9" t="s">
        <v>2</v>
      </c>
    </row>
    <row r="3" spans="1:11" x14ac:dyDescent="0.25">
      <c r="A3" s="11">
        <v>398.15</v>
      </c>
      <c r="B3">
        <v>150</v>
      </c>
      <c r="C3">
        <f t="shared" ref="C3:C8" si="0">(10^-6) *(-2.04+0.16*A3-0.000542 *A3^2 + 0.0000009 * A3^3 -0.000000000718 * A3^4 + 0.000000000000221 *A3^5)</f>
        <v>1.6716877655807988E-5</v>
      </c>
      <c r="D3">
        <v>250</v>
      </c>
      <c r="E3">
        <v>7.0000000000000007E-2</v>
      </c>
      <c r="F3" s="12">
        <f t="shared" ref="F3:F8" si="1">D3/E3</f>
        <v>3571.4285714285711</v>
      </c>
      <c r="H3" s="1" t="s">
        <v>2</v>
      </c>
      <c r="I3">
        <f>100+273.15</f>
        <v>373.15</v>
      </c>
      <c r="J3" s="8">
        <f>70*10^9</f>
        <v>70000000000</v>
      </c>
      <c r="K3" s="9" t="s">
        <v>2</v>
      </c>
    </row>
    <row r="4" spans="1:11" x14ac:dyDescent="0.25">
      <c r="A4" s="11">
        <v>523.15</v>
      </c>
      <c r="B4">
        <v>135</v>
      </c>
      <c r="C4">
        <f t="shared" si="0"/>
        <v>1.7066190957807088E-5</v>
      </c>
      <c r="D4">
        <v>165</v>
      </c>
      <c r="E4">
        <v>0.15</v>
      </c>
      <c r="F4" s="12">
        <f t="shared" si="1"/>
        <v>1100</v>
      </c>
      <c r="H4" s="1" t="s">
        <v>2</v>
      </c>
      <c r="I4">
        <f>200+273.15</f>
        <v>473.15</v>
      </c>
      <c r="J4" s="8">
        <f>67*10^9</f>
        <v>67000000000</v>
      </c>
      <c r="K4" s="9" t="s">
        <v>2</v>
      </c>
    </row>
    <row r="5" spans="1:11" x14ac:dyDescent="0.25">
      <c r="A5" s="11">
        <v>723.15</v>
      </c>
      <c r="B5">
        <v>35</v>
      </c>
      <c r="C5">
        <f t="shared" si="0"/>
        <v>1.7930921242055256E-5</v>
      </c>
      <c r="D5">
        <v>40</v>
      </c>
      <c r="E5">
        <v>0.22</v>
      </c>
      <c r="F5" s="12">
        <f t="shared" si="1"/>
        <v>181.81818181818181</v>
      </c>
      <c r="H5" s="1" t="s">
        <v>2</v>
      </c>
      <c r="I5">
        <f>300+273.15</f>
        <v>573.15</v>
      </c>
      <c r="J5" s="8">
        <f>52*10^9</f>
        <v>52000000000</v>
      </c>
      <c r="K5" s="9" t="s">
        <v>2</v>
      </c>
    </row>
    <row r="6" spans="1:11" x14ac:dyDescent="0.25">
      <c r="A6" s="11"/>
      <c r="F6" s="12"/>
      <c r="H6" s="1" t="s">
        <v>2</v>
      </c>
      <c r="I6">
        <f>400+273.15</f>
        <v>673.15</v>
      </c>
      <c r="J6" s="8">
        <f>43*10^9</f>
        <v>43000000000</v>
      </c>
      <c r="K6" s="9" t="s">
        <v>2</v>
      </c>
    </row>
    <row r="7" spans="1:11" x14ac:dyDescent="0.25">
      <c r="A7" s="11"/>
      <c r="F7" s="12"/>
      <c r="H7" s="1" t="s">
        <v>2</v>
      </c>
      <c r="I7">
        <f>500+273.15</f>
        <v>773.15</v>
      </c>
      <c r="J7" s="8">
        <f>33*10^9</f>
        <v>33000000000</v>
      </c>
      <c r="K7" s="9" t="s">
        <v>2</v>
      </c>
    </row>
    <row r="8" spans="1:11" x14ac:dyDescent="0.25">
      <c r="A8" s="11"/>
      <c r="F8" s="12"/>
      <c r="H8" s="1"/>
      <c r="I8" s="2"/>
      <c r="J8" s="8"/>
      <c r="K8" s="9"/>
    </row>
    <row r="9" spans="1:11" x14ac:dyDescent="0.25">
      <c r="A9" s="13"/>
      <c r="B9" s="14"/>
      <c r="C9" s="14"/>
      <c r="D9" s="14"/>
      <c r="E9" s="14"/>
      <c r="F9" s="15"/>
      <c r="H9" s="1"/>
      <c r="I9" s="3"/>
      <c r="J9" s="10"/>
      <c r="K9" s="6"/>
    </row>
    <row r="10" spans="1:11" x14ac:dyDescent="0.25">
      <c r="A10" s="1"/>
      <c r="B10" s="1"/>
      <c r="C10" s="1"/>
      <c r="D10" s="1"/>
      <c r="E10" s="1"/>
      <c r="F10" s="1"/>
      <c r="G10" s="1"/>
      <c r="H10" s="1"/>
      <c r="J10" s="8"/>
      <c r="K10" s="1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J11" s="8"/>
      <c r="K11" s="1"/>
    </row>
    <row r="12" spans="1:11" x14ac:dyDescent="0.25">
      <c r="A12" s="1"/>
      <c r="B12" s="1"/>
      <c r="C12" s="1"/>
      <c r="D12" s="1"/>
      <c r="E12" s="1" t="s">
        <v>9</v>
      </c>
      <c r="F12" s="1"/>
      <c r="G12" s="1"/>
      <c r="H12" s="1"/>
      <c r="J12" s="8"/>
      <c r="K12" s="1"/>
    </row>
    <row r="13" spans="1:11" x14ac:dyDescent="0.25">
      <c r="A13" s="19" t="s">
        <v>0</v>
      </c>
      <c r="B13" s="23" t="s">
        <v>3</v>
      </c>
      <c r="C13" s="1"/>
      <c r="D13" s="1"/>
      <c r="E13" s="1" t="s">
        <v>10</v>
      </c>
      <c r="F13" s="1"/>
      <c r="G13" s="1"/>
      <c r="H13" s="1"/>
      <c r="J13" s="8"/>
      <c r="K13" s="1"/>
    </row>
    <row r="14" spans="1:11" x14ac:dyDescent="0.25">
      <c r="A14" s="11">
        <v>298.14999999999998</v>
      </c>
      <c r="B14" s="12">
        <v>132</v>
      </c>
      <c r="C14" s="1"/>
      <c r="D14" s="5"/>
      <c r="E14" s="1" t="s">
        <v>11</v>
      </c>
      <c r="F14" s="1"/>
      <c r="G14" s="1"/>
      <c r="H14" s="1"/>
      <c r="J14" s="8"/>
      <c r="K14" s="1"/>
    </row>
    <row r="15" spans="1:11" x14ac:dyDescent="0.25">
      <c r="A15" s="11">
        <v>473.15</v>
      </c>
      <c r="B15" s="12">
        <v>137</v>
      </c>
      <c r="C15" s="1"/>
      <c r="D15" s="1"/>
      <c r="E15" s="1" t="s">
        <v>12</v>
      </c>
      <c r="F15" s="1"/>
      <c r="G15" s="1"/>
      <c r="H15" s="1"/>
      <c r="I15" s="1"/>
      <c r="J15" s="1"/>
      <c r="K15" s="1"/>
    </row>
    <row r="16" spans="1:11" x14ac:dyDescent="0.25">
      <c r="A16" s="11">
        <v>673.15</v>
      </c>
      <c r="B16" s="12">
        <v>141</v>
      </c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5">
      <c r="A17" s="11"/>
      <c r="B17" s="12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25">
      <c r="A18" s="11"/>
      <c r="B18" s="12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25">
      <c r="A19" s="11"/>
      <c r="B19" s="12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5">
      <c r="A20" s="11"/>
      <c r="B20" s="12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5">
      <c r="A21" s="11"/>
      <c r="B21" s="12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3"/>
      <c r="B22" s="15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5"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Grant Williams</cp:lastModifiedBy>
  <cp:revision/>
  <dcterms:created xsi:type="dcterms:W3CDTF">2024-09-14T17:20:50Z</dcterms:created>
  <dcterms:modified xsi:type="dcterms:W3CDTF">2026-04-25T21:42:56Z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7606f69-b0ae-4874-be30-7d43a3c7be10_Enabled">
    <vt:lpwstr>true</vt:lpwstr>
  </property>
  <property fmtid="{D5CDD505-2E9C-101B-9397-08002B2CF9AE}" pid="3" name="MSIP_Label_f7606f69-b0ae-4874-be30-7d43a3c7be10_SetDate">
    <vt:lpwstr>2025-04-08T21:24:25Z</vt:lpwstr>
  </property>
  <property fmtid="{D5CDD505-2E9C-101B-9397-08002B2CF9AE}" pid="4" name="MSIP_Label_f7606f69-b0ae-4874-be30-7d43a3c7be10_Method">
    <vt:lpwstr>Standard</vt:lpwstr>
  </property>
  <property fmtid="{D5CDD505-2E9C-101B-9397-08002B2CF9AE}" pid="5" name="MSIP_Label_f7606f69-b0ae-4874-be30-7d43a3c7be10_Name">
    <vt:lpwstr>defa4170-0d19-0005-0001-bc88714345d2</vt:lpwstr>
  </property>
  <property fmtid="{D5CDD505-2E9C-101B-9397-08002B2CF9AE}" pid="6" name="MSIP_Label_f7606f69-b0ae-4874-be30-7d43a3c7be10_SiteId">
    <vt:lpwstr>4130bd39-7c53-419c-b1e5-8758d6d63f21</vt:lpwstr>
  </property>
  <property fmtid="{D5CDD505-2E9C-101B-9397-08002B2CF9AE}" pid="7" name="MSIP_Label_f7606f69-b0ae-4874-be30-7d43a3c7be10_ActionId">
    <vt:lpwstr>5fcd2bed-9aae-4c48-9c29-e45187955709</vt:lpwstr>
  </property>
  <property fmtid="{D5CDD505-2E9C-101B-9397-08002B2CF9AE}" pid="8" name="MSIP_Label_f7606f69-b0ae-4874-be30-7d43a3c7be10_ContentBits">
    <vt:lpwstr>0</vt:lpwstr>
  </property>
  <property fmtid="{D5CDD505-2E9C-101B-9397-08002B2CF9AE}" pid="9" name="MSIP_Label_f7606f69-b0ae-4874-be30-7d43a3c7be10_Tag">
    <vt:lpwstr>10, 3, 0, 1</vt:lpwstr>
  </property>
</Properties>
</file>
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C:\Users\Grant Williams\Box\PSP Active Controls\TOAD\Engine\Flight Chamber\Cooling Code\Material Data\"/>
    </mc:Choice>
  </mc:AlternateContent>
  <xr:revisionPtr revIDLastSave="0" documentId="13_ncr:1_{FD3CB0C9-C460-4A22-93C9-7BD44494C0AC}" xr6:coauthVersionLast="47" xr6:coauthVersionMax="47" xr10:uidLastSave="{00000000-0000-0000-0000-000000000000}"/>
  <bookViews>
    <workbookView xWindow="390" yWindow="390" windowWidth="21600" windowHeight="12645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" i="1" l="1"/>
  <c r="C8" i="1"/>
  <c r="C9" i="1"/>
  <c r="A22" i="1"/>
  <c r="A21" i="1"/>
  <c r="A20" i="1"/>
  <c r="A19" i="1"/>
  <c r="A18" i="1"/>
  <c r="A17" i="1"/>
  <c r="A16" i="1"/>
  <c r="A15" i="1"/>
  <c r="A14" i="1"/>
  <c r="A9" i="1"/>
  <c r="A8" i="1"/>
  <c r="A7" i="1"/>
  <c r="C7" i="1" s="1"/>
  <c r="A6" i="1"/>
  <c r="C6" i="1" s="1"/>
  <c r="A5" i="1"/>
  <c r="C5" i="1" s="1"/>
  <c r="A4" i="1"/>
  <c r="C4" i="1" s="1"/>
  <c r="A3" i="1"/>
  <c r="C3" i="1" s="1"/>
  <c r="A2" i="1"/>
  <c r="C2" i="1" s="1"/>
  <c r="F3" i="1"/>
  <c r="F4" i="1"/>
  <c r="F5" i="1"/>
  <c r="F6" i="1"/>
  <c r="F7" i="1"/>
  <c r="F8" i="1"/>
  <c r="F9" i="1"/>
</calcChain>
</file>

<file path=xl/sharedStrings.xml><?xml version="1.0" encoding="utf-8"?>
<sst xmlns="http://schemas.openxmlformats.org/spreadsheetml/2006/main" count="24" uniqueCount="11">
  <si>
    <t>Temp (K)</t>
  </si>
  <si>
    <t>Young's Modulus</t>
  </si>
  <si>
    <t> </t>
  </si>
  <si>
    <t>Thermal Conductivity (W/m*K)</t>
  </si>
  <si>
    <t>Ultimate Tensile (MPa)</t>
  </si>
  <si>
    <t>Elongation</t>
  </si>
  <si>
    <t>Tangent Modulus (Mpa) (=D/E)</t>
  </si>
  <si>
    <t>Yield Strength (MPa)</t>
  </si>
  <si>
    <r>
      <t>CTE (</t>
    </r>
    <r>
      <rPr>
        <sz val="11"/>
        <color theme="1"/>
        <rFont val="Aptos Narrow"/>
        <family val="2"/>
        <scheme val="minor"/>
      </rPr>
      <t>ppm/C</t>
    </r>
    <r>
      <rPr>
        <b/>
        <sz val="11"/>
        <color theme="1"/>
        <rFont val="Aptos Narrow"/>
        <family val="2"/>
        <scheme val="minor"/>
      </rPr>
      <t>)</t>
    </r>
  </si>
  <si>
    <t>All values Except CTE from https://ntrs.nasa.gov/api/citations/20190030433/downloads/20190030433.pdf</t>
  </si>
  <si>
    <t>CTE from https://www.sciencedirect.com/science/article/pii/S2352492823013569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</si>
</sst>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000000"/>
      <name val="Calibri"/>
      <family val="2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25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2" fillId="0" borderId="0" xfId="0" applyFont="1"/>
    <xf numFmtId="0" fontId="3" fillId="0" borderId="0" xfId="1"/>
    <xf numFmtId="0" fontId="1" fillId="0" borderId="4" xfId="0" applyFont="1" applyBorder="1"/>
    <xf numFmtId="0" fontId="1" fillId="0" borderId="0" xfId="0" applyFont="1" applyAlignment="1">
      <alignment wrapText="1"/>
    </xf>
    <xf numFmtId="11" fontId="1" fillId="0" borderId="0" xfId="0" applyNumberFormat="1" applyFont="1"/>
    <xf numFmtId="0" fontId="1" fillId="0" borderId="5" xfId="0" applyFont="1" applyBorder="1"/>
    <xf numFmtId="11" fontId="1" fillId="0" borderId="3" xfId="0" applyNumberFormat="1" applyFont="1" applyBorder="1"/>
    <xf numFmtId="0" fontId="0" fillId="0" borderId="1" xfId="0" applyBorder="1"/>
    <xf numFmtId="0" fontId="0" fillId="0" borderId="5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 applyAlignment="1">
      <alignment wrapText="1"/>
    </xf>
    <xf numFmtId="0" fontId="2" fillId="0" borderId="6" xfId="0" applyFont="1" applyBorder="1"/>
    <xf numFmtId="0" fontId="0" fillId="0" borderId="7" xfId="0" applyBorder="1" applyAlignment="1">
      <alignment wrapText="1"/>
    </xf>
    <xf numFmtId="0" fontId="2" fillId="0" borderId="7" xfId="0" applyFont="1" applyBorder="1"/>
    <xf numFmtId="0" fontId="0" fillId="0" borderId="8" xfId="0" applyBorder="1" applyAlignment="1">
      <alignment wrapText="1"/>
    </xf>
    <xf numFmtId="0" fontId="2" fillId="0" borderId="8" xfId="0" applyFont="1" applyBorder="1"/>
    <xf numFmtId="0" fontId="0" fillId="0" borderId="0" xfId="0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6"/>
  <sheetViews>
    <sheetView tabSelected="1" topLeftCell="B1" workbookViewId="0">
      <selection activeCell="J10" sqref="J10:J14"/>
    </sheetView>
  </sheetViews>
  <sheetFormatPr defaultRowHeight="15" x14ac:dyDescent="0.25"/>
  <cols>
    <col min="2" max="2" width="17.85546875" customWidth="1"/>
    <col min="3" max="3" width="16" customWidth="1"/>
    <col min="4" max="4" width="20.28515625" customWidth="1"/>
    <col min="5" max="5" width="9.42578125" customWidth="1"/>
    <col min="6" max="6" width="25.140625" customWidth="1"/>
  </cols>
  <sheetData>
    <row r="1" spans="1:11" ht="21.95" customHeight="1" x14ac:dyDescent="0.25">
      <c r="A1" s="19" t="s">
        <v>0</v>
      </c>
      <c r="B1" s="20" t="s">
        <v>7</v>
      </c>
      <c r="C1" s="21" t="s">
        <v>8</v>
      </c>
      <c r="D1" s="20" t="s">
        <v>4</v>
      </c>
      <c r="E1" s="20" t="s">
        <v>5</v>
      </c>
      <c r="F1" s="22" t="s">
        <v>6</v>
      </c>
      <c r="G1" s="4"/>
      <c r="H1" s="7"/>
      <c r="I1" s="16" t="s">
        <v>0</v>
      </c>
      <c r="J1" s="17" t="s">
        <v>1</v>
      </c>
      <c r="K1" s="18"/>
    </row>
    <row r="2" spans="1:11" x14ac:dyDescent="0.25">
      <c r="A2" s="11">
        <f>25+273.15</f>
        <v>298.14999999999998</v>
      </c>
      <c r="B2">
        <v>200</v>
      </c>
      <c r="C2">
        <f>(10^-6) *(-2.04+0.16*A2-0.000542 *A2^2 + 0.0000009 * A2^3 -0.000000000718 * A2^4 + 0.000000000000221 *A2^5)</f>
        <v>1.6183990946848339E-5</v>
      </c>
      <c r="D2">
        <v>340</v>
      </c>
      <c r="E2">
        <v>0.3</v>
      </c>
      <c r="F2" s="12">
        <f>D2/E2</f>
        <v>1133.3333333333335</v>
      </c>
      <c r="H2" s="1" t="s">
        <v>2</v>
      </c>
      <c r="I2" s="2">
        <v>200</v>
      </c>
      <c r="J2" s="8">
        <v>113694200000</v>
      </c>
      <c r="K2" s="9" t="s">
        <v>2</v>
      </c>
    </row>
    <row r="3" spans="1:11" x14ac:dyDescent="0.25">
      <c r="A3" s="11">
        <f>123+273.15</f>
        <v>396.15</v>
      </c>
      <c r="B3">
        <v>183</v>
      </c>
      <c r="C3">
        <f t="shared" ref="C3:C9" si="0">(10^-6) *(-2.04+0.16*A3-0.000542 *A3^2 + 0.0000009 * A3^3 -0.000000000718 * A3^4 + 0.000000000000221 *A3^5)</f>
        <v>1.6711000105191778E-5</v>
      </c>
      <c r="D3">
        <v>290</v>
      </c>
      <c r="E3">
        <v>0.26300000000000001</v>
      </c>
      <c r="F3" s="12">
        <f t="shared" ref="F3:F9" si="1">D3/E3</f>
        <v>1102.6615969581749</v>
      </c>
      <c r="H3" s="1" t="s">
        <v>2</v>
      </c>
      <c r="I3" s="2">
        <v>293.7</v>
      </c>
      <c r="J3" s="8">
        <v>110330000000</v>
      </c>
      <c r="K3" s="9" t="s">
        <v>2</v>
      </c>
    </row>
    <row r="4" spans="1:11" x14ac:dyDescent="0.25">
      <c r="A4" s="11">
        <f>224+273.15</f>
        <v>497.15</v>
      </c>
      <c r="B4">
        <v>168</v>
      </c>
      <c r="C4">
        <f t="shared" si="0"/>
        <v>1.6982580370204031E-5</v>
      </c>
      <c r="D4">
        <v>242</v>
      </c>
      <c r="E4">
        <v>0.23599999999999999</v>
      </c>
      <c r="F4" s="12">
        <f t="shared" si="1"/>
        <v>1025.4237288135594</v>
      </c>
      <c r="H4" s="1" t="s">
        <v>2</v>
      </c>
      <c r="I4" s="2">
        <v>366.3</v>
      </c>
      <c r="J4" s="8">
        <v>107508000000</v>
      </c>
      <c r="K4" s="9" t="s">
        <v>2</v>
      </c>
    </row>
    <row r="5" spans="1:11" x14ac:dyDescent="0.25">
      <c r="A5" s="11">
        <f>325+273.15</f>
        <v>598.15</v>
      </c>
      <c r="B5">
        <v>153</v>
      </c>
      <c r="C5">
        <f t="shared" si="0"/>
        <v>1.73639319069038E-5</v>
      </c>
      <c r="D5">
        <v>200</v>
      </c>
      <c r="E5">
        <v>0.218</v>
      </c>
      <c r="F5" s="12">
        <f t="shared" si="1"/>
        <v>917.43119266055044</v>
      </c>
      <c r="H5" s="1" t="s">
        <v>2</v>
      </c>
      <c r="I5" s="2">
        <v>421.8</v>
      </c>
      <c r="J5" s="8">
        <v>106065000000</v>
      </c>
      <c r="K5" s="9" t="s">
        <v>2</v>
      </c>
    </row>
    <row r="6" spans="1:11" x14ac:dyDescent="0.25">
      <c r="A6" s="11">
        <f>457+273.15</f>
        <v>730.15</v>
      </c>
      <c r="B6">
        <v>130</v>
      </c>
      <c r="C6">
        <f t="shared" si="0"/>
        <v>1.7959619728467246E-5</v>
      </c>
      <c r="D6">
        <v>149</v>
      </c>
      <c r="E6">
        <v>0.20499999999999999</v>
      </c>
      <c r="F6" s="12">
        <f t="shared" si="1"/>
        <v>726.82926829268297</v>
      </c>
      <c r="H6" s="1" t="s">
        <v>2</v>
      </c>
      <c r="I6" s="2">
        <v>475.9</v>
      </c>
      <c r="J6" s="8">
        <v>103385000000</v>
      </c>
      <c r="K6" s="9" t="s">
        <v>2</v>
      </c>
    </row>
    <row r="7" spans="1:11" x14ac:dyDescent="0.25">
      <c r="A7" s="11">
        <f>587+273.15</f>
        <v>860.15</v>
      </c>
      <c r="B7">
        <v>102</v>
      </c>
      <c r="C7">
        <f t="shared" si="0"/>
        <v>1.8360067675994827E-5</v>
      </c>
      <c r="D7">
        <v>104</v>
      </c>
      <c r="E7">
        <v>0.19800000000000001</v>
      </c>
      <c r="F7" s="12">
        <f t="shared" si="1"/>
        <v>525.25252525252517</v>
      </c>
      <c r="H7" s="1" t="s">
        <v>2</v>
      </c>
      <c r="I7" s="2">
        <v>532.70000000000005</v>
      </c>
      <c r="J7" s="8">
        <v>101320000000</v>
      </c>
      <c r="K7" s="9" t="s">
        <v>2</v>
      </c>
    </row>
    <row r="8" spans="1:11" x14ac:dyDescent="0.25">
      <c r="A8" s="11">
        <f>704+273.15</f>
        <v>977.15</v>
      </c>
      <c r="B8">
        <v>68</v>
      </c>
      <c r="C8">
        <f t="shared" si="0"/>
        <v>1.8782942015366215E-5</v>
      </c>
      <c r="D8">
        <v>70</v>
      </c>
      <c r="E8">
        <v>0.192</v>
      </c>
      <c r="F8" s="12">
        <f t="shared" si="1"/>
        <v>364.58333333333331</v>
      </c>
      <c r="H8" s="1"/>
      <c r="I8" s="2">
        <v>588.1</v>
      </c>
      <c r="J8" s="8">
        <v>97800000000</v>
      </c>
      <c r="K8" s="9"/>
    </row>
    <row r="9" spans="1:11" x14ac:dyDescent="0.25">
      <c r="A9" s="13">
        <f>800+273.15</f>
        <v>1073.1500000000001</v>
      </c>
      <c r="B9" s="14">
        <v>30.6</v>
      </c>
      <c r="C9" s="14">
        <f t="shared" si="0"/>
        <v>2.0044106908471916E-5</v>
      </c>
      <c r="D9" s="14">
        <v>50.5</v>
      </c>
      <c r="E9" s="14">
        <v>0.185</v>
      </c>
      <c r="F9" s="15">
        <f t="shared" si="1"/>
        <v>272.97297297297297</v>
      </c>
      <c r="H9" s="1"/>
      <c r="I9" s="3">
        <v>643.6</v>
      </c>
      <c r="J9" s="10">
        <v>94500000000</v>
      </c>
      <c r="K9" s="6"/>
    </row>
    <row r="10" spans="1:11" x14ac:dyDescent="0.25">
      <c r="A10" s="1"/>
      <c r="B10" s="1"/>
      <c r="C10" s="1"/>
      <c r="D10" s="1"/>
      <c r="E10" s="1"/>
      <c r="F10" s="1"/>
      <c r="G10" s="1"/>
      <c r="H10" s="1"/>
      <c r="I10" s="24">
        <v>673</v>
      </c>
      <c r="J10" s="8">
        <v>75000000000</v>
      </c>
      <c r="K10" s="1"/>
    </row>
    <row r="11" spans="1:11" x14ac:dyDescent="0.25">
      <c r="A11" s="1"/>
      <c r="B11" s="1"/>
      <c r="C11" s="1"/>
      <c r="D11" s="1"/>
      <c r="E11" s="1"/>
      <c r="F11" s="1"/>
      <c r="G11" s="1"/>
      <c r="H11" s="1"/>
      <c r="I11" s="24">
        <v>773</v>
      </c>
      <c r="J11" s="8">
        <v>65000000000</v>
      </c>
      <c r="K11" s="1"/>
    </row>
    <row r="12" spans="1:11" x14ac:dyDescent="0.25">
      <c r="A12" s="1"/>
      <c r="B12" s="1"/>
      <c r="C12" s="1"/>
      <c r="D12" s="1"/>
      <c r="E12" s="1"/>
      <c r="F12" s="1"/>
      <c r="G12" s="1"/>
      <c r="H12" s="1"/>
      <c r="I12" s="24">
        <v>873</v>
      </c>
      <c r="J12" s="8">
        <v>50000000000</v>
      </c>
      <c r="K12" s="1"/>
    </row>
    <row r="13" spans="1:11" x14ac:dyDescent="0.25">
      <c r="A13" s="19" t="s">
        <v>0</v>
      </c>
      <c r="B13" s="23" t="s">
        <v>3</v>
      </c>
      <c r="C13" s="1"/>
      <c r="D13" s="1"/>
      <c r="E13" s="1" t="s">
        <v>9</v>
      </c>
      <c r="F13" s="1"/>
      <c r="G13" s="1"/>
      <c r="H13" s="1"/>
      <c r="I13" s="24">
        <v>973</v>
      </c>
      <c r="J13" s="8">
        <v>35000000000</v>
      </c>
      <c r="K13" s="1"/>
    </row>
    <row r="14" spans="1:11" x14ac:dyDescent="0.25">
      <c r="A14" s="11">
        <f>25+273.15</f>
        <v>298.14999999999998</v>
      </c>
      <c r="B14" s="12">
        <v>346.5</v>
      </c>
      <c r="C14" s="1"/>
      <c r="D14" s="5"/>
      <c r="E14" s="1"/>
      <c r="F14" s="1"/>
      <c r="G14" s="1"/>
      <c r="H14" s="1"/>
      <c r="I14" s="24">
        <v>1073</v>
      </c>
      <c r="J14" s="8">
        <v>15000000000</v>
      </c>
      <c r="K14" s="1"/>
    </row>
    <row r="15" spans="1:11" x14ac:dyDescent="0.25">
      <c r="A15" s="11">
        <f>124+273.15</f>
        <v>397.15</v>
      </c>
      <c r="B15" s="12">
        <v>350</v>
      </c>
      <c r="C15" s="1"/>
      <c r="D15" s="1"/>
      <c r="E15" s="1" t="s">
        <v>10</v>
      </c>
      <c r="F15" s="1"/>
      <c r="G15" s="1"/>
      <c r="H15" s="1"/>
      <c r="I15" s="1"/>
      <c r="J15" s="1"/>
      <c r="K15" s="1"/>
    </row>
    <row r="16" spans="1:11" x14ac:dyDescent="0.25">
      <c r="A16" s="11">
        <f>245+273.15</f>
        <v>518.15</v>
      </c>
      <c r="B16" s="12">
        <v>351</v>
      </c>
      <c r="C16" s="1"/>
      <c r="D16" s="1"/>
      <c r="E16" s="1"/>
      <c r="F16" s="1"/>
      <c r="G16" s="1"/>
      <c r="H16" s="1"/>
      <c r="I16" s="1"/>
      <c r="J16" s="1"/>
      <c r="K16" s="1"/>
    </row>
    <row r="17" spans="1:11" x14ac:dyDescent="0.25">
      <c r="A17" s="11">
        <f>360+273.15</f>
        <v>633.15</v>
      </c>
      <c r="B17" s="12">
        <v>349</v>
      </c>
      <c r="C17" s="1"/>
      <c r="D17" s="1"/>
      <c r="E17" s="1"/>
      <c r="F17" s="1"/>
      <c r="G17" s="1"/>
      <c r="H17" s="1"/>
      <c r="I17" s="1"/>
      <c r="J17" s="1"/>
      <c r="K17" s="1"/>
    </row>
    <row r="18" spans="1:11" x14ac:dyDescent="0.25">
      <c r="A18" s="11">
        <f>470+273.15</f>
        <v>743.15</v>
      </c>
      <c r="B18" s="12">
        <v>344</v>
      </c>
      <c r="C18" s="1"/>
      <c r="D18" s="1"/>
      <c r="E18" s="1"/>
      <c r="F18" s="1"/>
      <c r="G18" s="1"/>
      <c r="H18" s="1"/>
      <c r="I18" s="1"/>
      <c r="J18" s="1"/>
      <c r="K18" s="1"/>
    </row>
    <row r="19" spans="1:11" x14ac:dyDescent="0.25">
      <c r="A19" s="11">
        <f>564+273.15</f>
        <v>837.15</v>
      </c>
      <c r="B19" s="12">
        <v>339</v>
      </c>
      <c r="C19" s="1"/>
      <c r="D19" s="1"/>
      <c r="E19" s="1"/>
      <c r="F19" s="1"/>
      <c r="G19" s="1"/>
      <c r="H19" s="1"/>
      <c r="I19" s="1"/>
      <c r="J19" s="1"/>
      <c r="K19" s="1"/>
    </row>
    <row r="20" spans="1:11" x14ac:dyDescent="0.25">
      <c r="A20" s="11">
        <f>625+273.15</f>
        <v>898.15</v>
      </c>
      <c r="B20" s="12">
        <v>334.6</v>
      </c>
      <c r="C20" s="1"/>
      <c r="D20" s="1"/>
      <c r="E20" s="1"/>
      <c r="F20" s="1"/>
      <c r="G20" s="1"/>
      <c r="H20" s="1"/>
      <c r="I20" s="1"/>
      <c r="J20" s="1"/>
      <c r="K20" s="1"/>
    </row>
    <row r="21" spans="1:11" x14ac:dyDescent="0.25">
      <c r="A21" s="11">
        <f>715+273.15</f>
        <v>988.15</v>
      </c>
      <c r="B21" s="12">
        <v>327.5</v>
      </c>
      <c r="C21" s="1"/>
      <c r="D21" s="1"/>
      <c r="E21" s="1"/>
      <c r="F21" s="1"/>
      <c r="G21" s="1"/>
      <c r="H21" s="1"/>
      <c r="I21" s="1"/>
      <c r="J21" s="1"/>
      <c r="K21" s="1"/>
    </row>
    <row r="22" spans="1:11" x14ac:dyDescent="0.25">
      <c r="A22" s="13">
        <f>795+273.15</f>
        <v>1068.1500000000001</v>
      </c>
      <c r="B22" s="15">
        <v>320.60000000000002</v>
      </c>
      <c r="C22" s="1"/>
      <c r="D22" s="1"/>
      <c r="E22" s="1"/>
      <c r="F22" s="1"/>
      <c r="G22" s="1"/>
      <c r="H22" s="1"/>
      <c r="I22" s="1"/>
      <c r="J22" s="1"/>
      <c r="K22" s="1"/>
    </row>
    <row r="23" spans="1:11" x14ac:dyDescent="0.25">
      <c r="C23" s="1"/>
      <c r="D23" s="1"/>
      <c r="E23" s="1"/>
      <c r="F23" s="1"/>
      <c r="G23" s="1"/>
      <c r="H23" s="1"/>
      <c r="I23" s="1"/>
      <c r="J23" s="1"/>
      <c r="K23" s="1"/>
    </row>
    <row r="24" spans="1:11" x14ac:dyDescent="0.2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</row>
    <row r="25" spans="1:11" x14ac:dyDescent="0.2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</row>
    <row r="26" spans="1:11" x14ac:dyDescent="0.2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Grant Williams</cp:lastModifiedBy>
  <cp:revision/>
  <dcterms:created xsi:type="dcterms:W3CDTF">2024-09-14T17:20:50Z</dcterms:created>
  <dcterms:modified xsi:type="dcterms:W3CDTF">2026-01-29T00:19:36Z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7606f69-b0ae-4874-be30-7d43a3c7be10_Enabled">
    <vt:lpwstr>true</vt:lpwstr>
  </property>
  <property fmtid="{D5CDD505-2E9C-101B-9397-08002B2CF9AE}" pid="3" name="MSIP_Label_f7606f69-b0ae-4874-be30-7d43a3c7be10_SetDate">
    <vt:lpwstr>2025-04-08T21:24:25Z</vt:lpwstr>
  </property>
  <property fmtid="{D5CDD505-2E9C-101B-9397-08002B2CF9AE}" pid="4" name="MSIP_Label_f7606f69-b0ae-4874-be30-7d43a3c7be10_Method">
    <vt:lpwstr>Standard</vt:lpwstr>
  </property>
  <property fmtid="{D5CDD505-2E9C-101B-9397-08002B2CF9AE}" pid="5" name="MSIP_Label_f7606f69-b0ae-4874-be30-7d43a3c7be10_Name">
    <vt:lpwstr>defa4170-0d19-0005-0001-bc88714345d2</vt:lpwstr>
  </property>
  <property fmtid="{D5CDD505-2E9C-101B-9397-08002B2CF9AE}" pid="6" name="MSIP_Label_f7606f69-b0ae-4874-be30-7d43a3c7be10_SiteId">
    <vt:lpwstr>4130bd39-7c53-419c-b1e5-8758d6d63f21</vt:lpwstr>
  </property>
  <property fmtid="{D5CDD505-2E9C-101B-9397-08002B2CF9AE}" pid="7" name="MSIP_Label_f7606f69-b0ae-4874-be30-7d43a3c7be10_ActionId">
    <vt:lpwstr>5fcd2bed-9aae-4c48-9c29-e45187955709</vt:lpwstr>
  </property>
  <property fmtid="{D5CDD505-2E9C-101B-9397-08002B2CF9AE}" pid="8" name="MSIP_Label_f7606f69-b0ae-4874-be30-7d43a3c7be10_ContentBits">
    <vt:lpwstr>0</vt:lpwstr>
  </property>
  <property fmtid="{D5CDD505-2E9C-101B-9397-08002B2CF9AE}" pid="9" name="MSIP_Label_f7606f69-b0ae-4874-be30-7d43a3c7be10_Tag">
    <vt:lpwstr>10, 3, 0, 1</vt:lpwstr>
  </property>
</Properties>
</file>
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Material Data\"/>
    </mc:Choice>
  </mc:AlternateContent>
  <xr:revisionPtr revIDLastSave="0" documentId="13_ncr:1_{A844ED0B-8C3A-4226-9A7C-74B5D0428930}" xr6:coauthVersionLast="47" xr6:coauthVersionMax="47" xr10:uidLastSave="{00000000-0000-0000-0000-000000000000}"/>
  <bookViews>
    <workbookView xWindow="-110" yWindow="-110" windowWidth="25820" windowHeight="13900" xr2:uid="{9CE2551A-9DD1-46F0-9C2C-17506AA4A12B}"/>
  </bookViews>
  <sheets>
    <sheet name="Matlab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9" i="2"/>
  <c r="B20" i="2"/>
  <c r="B21" i="2"/>
  <c r="B22" i="2"/>
  <c r="B23" i="2"/>
  <c r="B24" i="2"/>
  <c r="B25" i="2"/>
  <c r="B17" i="2"/>
  <c r="G3" i="2"/>
  <c r="G4" i="2"/>
  <c r="G5" i="2"/>
  <c r="G6" i="2"/>
  <c r="G7" i="2"/>
  <c r="G8" i="2"/>
  <c r="G9" i="2"/>
  <c r="G10" i="2"/>
  <c r="G11" i="2"/>
  <c r="G12" i="2"/>
  <c r="G2" i="2"/>
  <c r="E2" i="2"/>
  <c r="E9" i="2"/>
  <c r="E10" i="2"/>
  <c r="E4" i="2"/>
  <c r="E5" i="2"/>
  <c r="E6" i="2"/>
  <c r="E7" i="2"/>
  <c r="J21" i="1"/>
  <c r="J22" i="1"/>
  <c r="J18" i="1"/>
  <c r="J19" i="1"/>
  <c r="J20" i="1"/>
  <c r="J23" i="1"/>
  <c r="J24" i="1"/>
  <c r="J25" i="1"/>
  <c r="J26" i="1"/>
  <c r="J27" i="1"/>
  <c r="J17" i="1"/>
  <c r="I17" i="1"/>
  <c r="E3" i="2"/>
  <c r="E21" i="2"/>
  <c r="E20" i="2"/>
  <c r="E19" i="2"/>
  <c r="E18" i="2"/>
  <c r="E17" i="2"/>
  <c r="B3" i="2"/>
  <c r="B4" i="2"/>
  <c r="B5" i="2"/>
  <c r="B11" i="2"/>
  <c r="B2" i="2"/>
  <c r="G22" i="1"/>
  <c r="G23" i="1"/>
  <c r="G24" i="1"/>
  <c r="G25" i="1"/>
  <c r="G26" i="1"/>
  <c r="A11" i="2" s="1"/>
  <c r="G27" i="1"/>
  <c r="A3" i="2"/>
  <c r="A4" i="2"/>
  <c r="A5" i="2"/>
  <c r="A7" i="2"/>
  <c r="A8" i="2"/>
  <c r="A9" i="2"/>
  <c r="A10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6" i="1"/>
  <c r="I27" i="1"/>
  <c r="B12" i="2" s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6" i="1"/>
  <c r="H27" i="1"/>
  <c r="H28" i="1"/>
  <c r="H3" i="1"/>
  <c r="D21" i="1"/>
  <c r="I21" i="1" s="1"/>
  <c r="B6" i="2" s="1"/>
  <c r="E21" i="1"/>
  <c r="C21" i="1"/>
  <c r="B21" i="1"/>
  <c r="G21" i="1" s="1"/>
  <c r="A6" i="2" s="1"/>
  <c r="D25" i="1"/>
  <c r="I25" i="1" s="1"/>
  <c r="B10" i="2" s="1"/>
  <c r="E25" i="1"/>
  <c r="C25" i="1"/>
  <c r="H25" i="1" s="1"/>
  <c r="D23" i="1"/>
  <c r="I23" i="1" s="1"/>
  <c r="B8" i="2" s="1"/>
  <c r="E23" i="1"/>
  <c r="C23" i="1"/>
  <c r="H23" i="1" s="1"/>
  <c r="D24" i="1"/>
  <c r="I24" i="1" s="1"/>
  <c r="B9" i="2" s="1"/>
  <c r="E24" i="1"/>
  <c r="C24" i="1"/>
  <c r="E22" i="1"/>
  <c r="D22" i="1"/>
  <c r="I22" i="1" s="1"/>
  <c r="B7" i="2" s="1"/>
  <c r="C22" i="1"/>
  <c r="G19" i="1"/>
  <c r="G20" i="1"/>
  <c r="G18" i="1"/>
  <c r="G17" i="1"/>
  <c r="A2" i="2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E8" i="2" l="1"/>
  <c r="E12" i="2"/>
  <c r="E11" i="2"/>
</calcChain>
</file>

<file path=xl/sharedStrings.xml><?xml version="1.0" encoding="utf-8"?>
<sst xmlns="http://schemas.openxmlformats.org/spreadsheetml/2006/main" count="27" uniqueCount="21">
  <si>
    <t>Temperature [F]</t>
  </si>
  <si>
    <t>Ulimate Tensile Strength [ksi]</t>
  </si>
  <si>
    <t>Yield Strength [ksi]</t>
  </si>
  <si>
    <t>Elongation [%]</t>
  </si>
  <si>
    <t>Modulus [Msi]</t>
  </si>
  <si>
    <t>Average</t>
  </si>
  <si>
    <t>Elementum</t>
  </si>
  <si>
    <t>NASA L-PBF</t>
  </si>
  <si>
    <t>Temperature [K]</t>
  </si>
  <si>
    <t>Combined</t>
  </si>
  <si>
    <t>Temp (K)</t>
  </si>
  <si>
    <t>Yield Strength (MPa)</t>
  </si>
  <si>
    <t>Young's Modulus</t>
  </si>
  <si>
    <t>Elongation</t>
  </si>
  <si>
    <t>Ultimate [MPA]</t>
  </si>
  <si>
    <t>Yield Strength [Mpa]</t>
  </si>
  <si>
    <t>Thermal Conductivity (W/m*k)</t>
  </si>
  <si>
    <t>CTE (ppm) * 10^-6</t>
  </si>
  <si>
    <t>NASA</t>
  </si>
  <si>
    <t>Ultimate (Mpa)</t>
  </si>
  <si>
    <t>Tangent Modulus  (Mpa) = C/D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</si>
</sst>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0" borderId="0" xfId="0" applyNumberFormat="1"/>
    <xf numFmtId="2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Ultimate Tensile</a:t>
            </a:r>
            <a:r>
              <a:rPr lang="en-US" baseline="0"/>
              <a:t> Strength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Elementum 3D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data!$B$3:$B$10</c:f>
              <c:numCache>
                <c:formatCode>0</c:formatCode>
                <c:ptCount val="8"/>
                <c:pt idx="0">
                  <c:v>-251</c:v>
                </c:pt>
                <c:pt idx="1">
                  <c:v>-148</c:v>
                </c:pt>
                <c:pt idx="2">
                  <c:v>-58</c:v>
                </c:pt>
                <c:pt idx="3">
                  <c:v>73</c:v>
                </c:pt>
                <c:pt idx="4">
                  <c:v>212</c:v>
                </c:pt>
                <c:pt idx="5">
                  <c:v>302</c:v>
                </c:pt>
                <c:pt idx="6">
                  <c:v>392</c:v>
                </c:pt>
                <c:pt idx="7">
                  <c:v>482</c:v>
                </c:pt>
              </c:numCache>
            </c:numRef>
          </c:xVal>
          <c:yVal>
            <c:numRef>
              <c:f>data!$C$3:$C$10</c:f>
              <c:numCache>
                <c:formatCode>0.0</c:formatCode>
                <c:ptCount val="8"/>
                <c:pt idx="0">
                  <c:v>60.7</c:v>
                </c:pt>
                <c:pt idx="1">
                  <c:v>56.5</c:v>
                </c:pt>
                <c:pt idx="2">
                  <c:v>53.2</c:v>
                </c:pt>
                <c:pt idx="3">
                  <c:v>49</c:v>
                </c:pt>
                <c:pt idx="4">
                  <c:v>48</c:v>
                </c:pt>
                <c:pt idx="5">
                  <c:v>41.6</c:v>
                </c:pt>
                <c:pt idx="6">
                  <c:v>31.3</c:v>
                </c:pt>
                <c:pt idx="7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8-40AC-92F1-24DF329302CF}"/>
            </c:ext>
          </c:extLst>
        </c:ser>
        <c:ser>
          <c:idx val="1"/>
          <c:order val="1"/>
          <c:tx>
            <c:v>NASA L-PBF 6061-RAM2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data!$B$11:$B$16</c:f>
              <c:numCache>
                <c:formatCode>0</c:formatCode>
                <c:ptCount val="6"/>
                <c:pt idx="0">
                  <c:v>-320</c:v>
                </c:pt>
                <c:pt idx="1">
                  <c:v>70</c:v>
                </c:pt>
                <c:pt idx="2">
                  <c:v>212</c:v>
                </c:pt>
                <c:pt idx="3">
                  <c:v>392</c:v>
                </c:pt>
                <c:pt idx="4">
                  <c:v>572</c:v>
                </c:pt>
                <c:pt idx="5">
                  <c:v>752</c:v>
                </c:pt>
              </c:numCache>
            </c:numRef>
          </c:xVal>
          <c:yVal>
            <c:numRef>
              <c:f>data!$C$11:$C$16</c:f>
              <c:numCache>
                <c:formatCode>0.0</c:formatCode>
                <c:ptCount val="6"/>
                <c:pt idx="0">
                  <c:v>63.825000000000003</c:v>
                </c:pt>
                <c:pt idx="1">
                  <c:v>49.875</c:v>
                </c:pt>
                <c:pt idx="2">
                  <c:v>45.375</c:v>
                </c:pt>
                <c:pt idx="3">
                  <c:v>29.200000000000003</c:v>
                </c:pt>
                <c:pt idx="4">
                  <c:v>7.8</c:v>
                </c:pt>
                <c:pt idx="5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18-40AC-92F1-24DF329302CF}"/>
            </c:ext>
          </c:extLst>
        </c:ser>
        <c:ser>
          <c:idx val="2"/>
          <c:order val="2"/>
          <c:tx>
            <c:v>Combined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data!$B$17:$B$27</c:f>
              <c:numCache>
                <c:formatCode>0</c:formatCode>
                <c:ptCount val="11"/>
                <c:pt idx="0">
                  <c:v>-320</c:v>
                </c:pt>
                <c:pt idx="1">
                  <c:v>-251</c:v>
                </c:pt>
                <c:pt idx="2">
                  <c:v>-148</c:v>
                </c:pt>
                <c:pt idx="3">
                  <c:v>-58</c:v>
                </c:pt>
                <c:pt idx="4">
                  <c:v>71.5</c:v>
                </c:pt>
                <c:pt idx="5">
                  <c:v>212</c:v>
                </c:pt>
                <c:pt idx="6">
                  <c:v>302</c:v>
                </c:pt>
                <c:pt idx="7">
                  <c:v>392</c:v>
                </c:pt>
                <c:pt idx="8">
                  <c:v>482</c:v>
                </c:pt>
                <c:pt idx="9">
                  <c:v>572</c:v>
                </c:pt>
                <c:pt idx="10">
                  <c:v>752</c:v>
                </c:pt>
              </c:numCache>
            </c:numRef>
          </c:xVal>
          <c:yVal>
            <c:numRef>
              <c:f>data!$C$17:$C$27</c:f>
              <c:numCache>
                <c:formatCode>0.0</c:formatCode>
                <c:ptCount val="11"/>
                <c:pt idx="0">
                  <c:v>63.825000000000003</c:v>
                </c:pt>
                <c:pt idx="1">
                  <c:v>60.7</c:v>
                </c:pt>
                <c:pt idx="2">
                  <c:v>56.5</c:v>
                </c:pt>
                <c:pt idx="3">
                  <c:v>53.2</c:v>
                </c:pt>
                <c:pt idx="4">
                  <c:v>49.4375</c:v>
                </c:pt>
                <c:pt idx="5" formatCode="General">
                  <c:v>46.6875</c:v>
                </c:pt>
                <c:pt idx="6">
                  <c:v>39.443750000000001</c:v>
                </c:pt>
                <c:pt idx="7" formatCode="General">
                  <c:v>30.25</c:v>
                </c:pt>
                <c:pt idx="8">
                  <c:v>18.600000000000001</c:v>
                </c:pt>
                <c:pt idx="9">
                  <c:v>7.8</c:v>
                </c:pt>
                <c:pt idx="10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D7-4820-BA43-A03EE026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115743"/>
        <c:axId val="1613120319"/>
      </c:scatterChart>
      <c:valAx>
        <c:axId val="161311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[F]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20319"/>
        <c:crosses val="autoZero"/>
        <c:crossBetween val="midCat"/>
      </c:valAx>
      <c:valAx>
        <c:axId val="16131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Ultimate</a:t>
                </a:r>
                <a:r>
                  <a:rPr lang="en-US" baseline="0"/>
                  <a:t> Strength [ksi]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1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Yield Tensile</a:t>
            </a:r>
            <a:r>
              <a:rPr lang="en-US" baseline="0"/>
              <a:t> Strength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Elementum 3D</c:v>
          </c:tx>
          <c:spPr>
            <a:ln>
              <a:solidFill>
                <a:schemeClr val="accent6"/>
              </a:solidFill>
            </a:ln>
          </c:spPr>
          <c:marker>
            <c:symbol val="diamond"/>
            <c:size val="6"/>
            <c:spPr>
              <a:solidFill>
                <a:schemeClr val="accent6"/>
              </a:solidFill>
            </c:spPr>
          </c:marker>
          <c:xVal>
            <c:numRef>
              <c:f>data!$B$3:$B$10</c:f>
              <c:numCache>
                <c:formatCode>0</c:formatCode>
                <c:ptCount val="8"/>
                <c:pt idx="0">
                  <c:v>-251</c:v>
                </c:pt>
                <c:pt idx="1">
                  <c:v>-148</c:v>
                </c:pt>
                <c:pt idx="2">
                  <c:v>-58</c:v>
                </c:pt>
                <c:pt idx="3">
                  <c:v>73</c:v>
                </c:pt>
                <c:pt idx="4">
                  <c:v>212</c:v>
                </c:pt>
                <c:pt idx="5">
                  <c:v>302</c:v>
                </c:pt>
                <c:pt idx="6">
                  <c:v>392</c:v>
                </c:pt>
                <c:pt idx="7">
                  <c:v>482</c:v>
                </c:pt>
              </c:numCache>
            </c:numRef>
          </c:xVal>
          <c:yVal>
            <c:numRef>
              <c:f>data!$D$3:$D$10</c:f>
              <c:numCache>
                <c:formatCode>0.0</c:formatCode>
                <c:ptCount val="8"/>
                <c:pt idx="0">
                  <c:v>54.8</c:v>
                </c:pt>
                <c:pt idx="1">
                  <c:v>52.2</c:v>
                </c:pt>
                <c:pt idx="2">
                  <c:v>49.5</c:v>
                </c:pt>
                <c:pt idx="3">
                  <c:v>45</c:v>
                </c:pt>
                <c:pt idx="4">
                  <c:v>46.5</c:v>
                </c:pt>
                <c:pt idx="5">
                  <c:v>41.4</c:v>
                </c:pt>
                <c:pt idx="6">
                  <c:v>31</c:v>
                </c:pt>
                <c:pt idx="7">
                  <c:v>17.399999999999999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CD-44F8-A551-2A6E3F70A296}"/>
            </c:ext>
          </c:extLst>
        </c:ser>
        <c:ser>
          <c:idx val="3"/>
          <c:order val="1"/>
          <c:tx>
            <c:v>NASA L-PBF 6061-RAM2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data!$B$11:$B$16</c:f>
              <c:numCache>
                <c:formatCode>0</c:formatCode>
                <c:ptCount val="6"/>
                <c:pt idx="0">
                  <c:v>-320</c:v>
                </c:pt>
                <c:pt idx="1">
                  <c:v>70</c:v>
                </c:pt>
                <c:pt idx="2">
                  <c:v>212</c:v>
                </c:pt>
                <c:pt idx="3">
                  <c:v>392</c:v>
                </c:pt>
                <c:pt idx="4">
                  <c:v>572</c:v>
                </c:pt>
                <c:pt idx="5">
                  <c:v>752</c:v>
                </c:pt>
              </c:numCache>
            </c:numRef>
          </c:xVal>
          <c:yVal>
            <c:numRef>
              <c:f>data!$D$11:$D$16</c:f>
              <c:numCache>
                <c:formatCode>0.0</c:formatCode>
                <c:ptCount val="6"/>
                <c:pt idx="0">
                  <c:v>52.050000000000004</c:v>
                </c:pt>
                <c:pt idx="1">
                  <c:v>44.699999999999996</c:v>
                </c:pt>
                <c:pt idx="2">
                  <c:v>42.85</c:v>
                </c:pt>
                <c:pt idx="3">
                  <c:v>29.125</c:v>
                </c:pt>
                <c:pt idx="4">
                  <c:v>7.2250000000000005</c:v>
                </c:pt>
                <c:pt idx="5">
                  <c:v>2.3666666666666667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CD-44F8-A551-2A6E3F70A296}"/>
            </c:ext>
          </c:extLst>
        </c:ser>
        <c:ser>
          <c:idx val="0"/>
          <c:order val="2"/>
          <c:tx>
            <c:v>Combined</c:v>
          </c:tx>
          <c:xVal>
            <c:numRef>
              <c:f>data!$B$17:$B$27</c:f>
              <c:numCache>
                <c:formatCode>0</c:formatCode>
                <c:ptCount val="11"/>
                <c:pt idx="0">
                  <c:v>-320</c:v>
                </c:pt>
                <c:pt idx="1">
                  <c:v>-251</c:v>
                </c:pt>
                <c:pt idx="2">
                  <c:v>-148</c:v>
                </c:pt>
                <c:pt idx="3">
                  <c:v>-58</c:v>
                </c:pt>
                <c:pt idx="4">
                  <c:v>71.5</c:v>
                </c:pt>
                <c:pt idx="5">
                  <c:v>212</c:v>
                </c:pt>
                <c:pt idx="6">
                  <c:v>302</c:v>
                </c:pt>
                <c:pt idx="7">
                  <c:v>392</c:v>
                </c:pt>
                <c:pt idx="8">
                  <c:v>482</c:v>
                </c:pt>
                <c:pt idx="9">
                  <c:v>572</c:v>
                </c:pt>
                <c:pt idx="10">
                  <c:v>752</c:v>
                </c:pt>
              </c:numCache>
            </c:numRef>
          </c:xVal>
          <c:yVal>
            <c:numRef>
              <c:f>data!$D$17:$D$27</c:f>
              <c:numCache>
                <c:formatCode>0.0</c:formatCode>
                <c:ptCount val="11"/>
                <c:pt idx="0">
                  <c:v>52.050000000000004</c:v>
                </c:pt>
                <c:pt idx="1">
                  <c:v>54.8</c:v>
                </c:pt>
                <c:pt idx="2">
                  <c:v>52.2</c:v>
                </c:pt>
                <c:pt idx="3">
                  <c:v>49.5</c:v>
                </c:pt>
                <c:pt idx="4">
                  <c:v>44.849999999999994</c:v>
                </c:pt>
                <c:pt idx="5" formatCode="General">
                  <c:v>44.674999999999997</c:v>
                </c:pt>
                <c:pt idx="6">
                  <c:v>38.693749999999994</c:v>
                </c:pt>
                <c:pt idx="7" formatCode="General">
                  <c:v>30.0625</c:v>
                </c:pt>
                <c:pt idx="8">
                  <c:v>17.787500000000001</c:v>
                </c:pt>
                <c:pt idx="9">
                  <c:v>7.2250000000000005</c:v>
                </c:pt>
                <c:pt idx="10">
                  <c:v>2.3666666666666667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8-4E0B-92AE-95B3E9180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115743"/>
        <c:axId val="1613120319"/>
      </c:scatterChart>
      <c:valAx>
        <c:axId val="161311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[F]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20319"/>
        <c:crosses val="autoZero"/>
        <c:crossBetween val="midCat"/>
      </c:valAx>
      <c:valAx>
        <c:axId val="16131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  <a:r>
                  <a:rPr lang="en-US" baseline="0"/>
                  <a:t> Strength [ksi]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15743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Elongation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Elementum 3D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data!$B$3:$B$10</c:f>
              <c:numCache>
                <c:formatCode>0</c:formatCode>
                <c:ptCount val="8"/>
                <c:pt idx="0">
                  <c:v>-251</c:v>
                </c:pt>
                <c:pt idx="1">
                  <c:v>-148</c:v>
                </c:pt>
                <c:pt idx="2">
                  <c:v>-58</c:v>
                </c:pt>
                <c:pt idx="3">
                  <c:v>73</c:v>
                </c:pt>
                <c:pt idx="4">
                  <c:v>212</c:v>
                </c:pt>
                <c:pt idx="5">
                  <c:v>302</c:v>
                </c:pt>
                <c:pt idx="6">
                  <c:v>392</c:v>
                </c:pt>
                <c:pt idx="7">
                  <c:v>482</c:v>
                </c:pt>
              </c:numCache>
            </c:numRef>
          </c:xVal>
          <c:yVal>
            <c:numRef>
              <c:f>data!$E$3:$E$10</c:f>
              <c:numCache>
                <c:formatCode>0.0</c:formatCode>
                <c:ptCount val="8"/>
                <c:pt idx="0">
                  <c:v>15.1</c:v>
                </c:pt>
                <c:pt idx="1">
                  <c:v>13</c:v>
                </c:pt>
                <c:pt idx="2">
                  <c:v>13.1</c:v>
                </c:pt>
                <c:pt idx="3">
                  <c:v>12.9</c:v>
                </c:pt>
                <c:pt idx="4">
                  <c:v>14.5</c:v>
                </c:pt>
                <c:pt idx="5">
                  <c:v>18.399999999999999</c:v>
                </c:pt>
                <c:pt idx="6">
                  <c:v>22</c:v>
                </c:pt>
                <c:pt idx="7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9A-4DF4-8449-556EAE0FE416}"/>
            </c:ext>
          </c:extLst>
        </c:ser>
        <c:ser>
          <c:idx val="1"/>
          <c:order val="1"/>
          <c:tx>
            <c:v>NASA L-PBF 6061-RAM2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data!$B$11:$B$16</c:f>
              <c:numCache>
                <c:formatCode>0</c:formatCode>
                <c:ptCount val="6"/>
                <c:pt idx="0">
                  <c:v>-320</c:v>
                </c:pt>
                <c:pt idx="1">
                  <c:v>70</c:v>
                </c:pt>
                <c:pt idx="2">
                  <c:v>212</c:v>
                </c:pt>
                <c:pt idx="3">
                  <c:v>392</c:v>
                </c:pt>
                <c:pt idx="4">
                  <c:v>572</c:v>
                </c:pt>
                <c:pt idx="5">
                  <c:v>752</c:v>
                </c:pt>
              </c:numCache>
            </c:numRef>
          </c:xVal>
          <c:yVal>
            <c:numRef>
              <c:f>data!$E$11:$E$16</c:f>
              <c:numCache>
                <c:formatCode>0.0</c:formatCode>
                <c:ptCount val="6"/>
                <c:pt idx="0">
                  <c:v>18</c:v>
                </c:pt>
                <c:pt idx="1">
                  <c:v>15.25</c:v>
                </c:pt>
                <c:pt idx="2">
                  <c:v>18.25</c:v>
                </c:pt>
                <c:pt idx="3">
                  <c:v>34.5</c:v>
                </c:pt>
                <c:pt idx="4">
                  <c:v>73.75</c:v>
                </c:pt>
                <c:pt idx="5">
                  <c:v>72.666666666666671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9A-4DF4-8449-556EAE0FE416}"/>
            </c:ext>
          </c:extLst>
        </c:ser>
        <c:ser>
          <c:idx val="2"/>
          <c:order val="2"/>
          <c:tx>
            <c:v>Combined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data!$B$17:$B$27</c:f>
              <c:numCache>
                <c:formatCode>0</c:formatCode>
                <c:ptCount val="11"/>
                <c:pt idx="0">
                  <c:v>-320</c:v>
                </c:pt>
                <c:pt idx="1">
                  <c:v>-251</c:v>
                </c:pt>
                <c:pt idx="2">
                  <c:v>-148</c:v>
                </c:pt>
                <c:pt idx="3">
                  <c:v>-58</c:v>
                </c:pt>
                <c:pt idx="4">
                  <c:v>71.5</c:v>
                </c:pt>
                <c:pt idx="5">
                  <c:v>212</c:v>
                </c:pt>
                <c:pt idx="6">
                  <c:v>302</c:v>
                </c:pt>
                <c:pt idx="7">
                  <c:v>392</c:v>
                </c:pt>
                <c:pt idx="8">
                  <c:v>482</c:v>
                </c:pt>
                <c:pt idx="9">
                  <c:v>572</c:v>
                </c:pt>
                <c:pt idx="10">
                  <c:v>752</c:v>
                </c:pt>
              </c:numCache>
            </c:numRef>
          </c:xVal>
          <c:yVal>
            <c:numRef>
              <c:f>data!$E$17:$E$27</c:f>
              <c:numCache>
                <c:formatCode>0.0</c:formatCode>
                <c:ptCount val="11"/>
                <c:pt idx="0">
                  <c:v>18</c:v>
                </c:pt>
                <c:pt idx="1">
                  <c:v>15.1</c:v>
                </c:pt>
                <c:pt idx="2">
                  <c:v>13</c:v>
                </c:pt>
                <c:pt idx="3">
                  <c:v>13.1</c:v>
                </c:pt>
                <c:pt idx="4">
                  <c:v>14.074999999999999</c:v>
                </c:pt>
                <c:pt idx="5" formatCode="General">
                  <c:v>16.375</c:v>
                </c:pt>
                <c:pt idx="6">
                  <c:v>22.387499999999999</c:v>
                </c:pt>
                <c:pt idx="7" formatCode="General">
                  <c:v>28.25</c:v>
                </c:pt>
                <c:pt idx="8">
                  <c:v>41.862499999999997</c:v>
                </c:pt>
                <c:pt idx="9">
                  <c:v>73.75</c:v>
                </c:pt>
                <c:pt idx="10">
                  <c:v>72.666666666666671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1-4D23-A0F2-0D4F347F8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115743"/>
        <c:axId val="1613120319"/>
      </c:scatterChart>
      <c:valAx>
        <c:axId val="161311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[F]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20319"/>
        <c:crosses val="autoZero"/>
        <c:crossBetween val="midCat"/>
      </c:valAx>
      <c:valAx>
        <c:axId val="16131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Elongation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1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Modulus of Elasticity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Elementum 3D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data!$B$3:$B$10</c:f>
              <c:numCache>
                <c:formatCode>0</c:formatCode>
                <c:ptCount val="8"/>
                <c:pt idx="0">
                  <c:v>-251</c:v>
                </c:pt>
                <c:pt idx="1">
                  <c:v>-148</c:v>
                </c:pt>
                <c:pt idx="2">
                  <c:v>-58</c:v>
                </c:pt>
                <c:pt idx="3">
                  <c:v>73</c:v>
                </c:pt>
                <c:pt idx="4">
                  <c:v>212</c:v>
                </c:pt>
                <c:pt idx="5">
                  <c:v>302</c:v>
                </c:pt>
                <c:pt idx="6">
                  <c:v>392</c:v>
                </c:pt>
                <c:pt idx="7">
                  <c:v>482</c:v>
                </c:pt>
              </c:numCache>
            </c:numRef>
          </c:xVal>
          <c:yVal>
            <c:numRef>
              <c:f>data!$F$3:$F$10</c:f>
              <c:numCache>
                <c:formatCode>0.0</c:formatCode>
                <c:ptCount val="8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6-4647-B153-00619FBCB745}"/>
            </c:ext>
          </c:extLst>
        </c:ser>
        <c:ser>
          <c:idx val="1"/>
          <c:order val="1"/>
          <c:tx>
            <c:v>NASA L-PBF 6061-RAM2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data!$B$11:$B$16</c:f>
              <c:numCache>
                <c:formatCode>0</c:formatCode>
                <c:ptCount val="6"/>
                <c:pt idx="0">
                  <c:v>-320</c:v>
                </c:pt>
                <c:pt idx="1">
                  <c:v>70</c:v>
                </c:pt>
                <c:pt idx="2">
                  <c:v>212</c:v>
                </c:pt>
                <c:pt idx="3">
                  <c:v>392</c:v>
                </c:pt>
                <c:pt idx="4">
                  <c:v>572</c:v>
                </c:pt>
                <c:pt idx="5">
                  <c:v>752</c:v>
                </c:pt>
              </c:numCache>
            </c:numRef>
          </c:xVal>
          <c:yVal>
            <c:numRef>
              <c:f>data!$F$11:$F$16</c:f>
              <c:numCache>
                <c:formatCode>0.0</c:formatCode>
                <c:ptCount val="6"/>
                <c:pt idx="0">
                  <c:v>11.525</c:v>
                </c:pt>
                <c:pt idx="1">
                  <c:v>10.425000000000001</c:v>
                </c:pt>
                <c:pt idx="2">
                  <c:v>10.324999999999999</c:v>
                </c:pt>
                <c:pt idx="3">
                  <c:v>8.5500000000000007</c:v>
                </c:pt>
                <c:pt idx="4">
                  <c:v>5.4749999999999996</c:v>
                </c:pt>
                <c:pt idx="5">
                  <c:v>2.8333333333333335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6-4647-B153-00619FBCB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115743"/>
        <c:axId val="1613120319"/>
      </c:scatterChart>
      <c:valAx>
        <c:axId val="161311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[F]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20319"/>
        <c:crosses val="autoZero"/>
        <c:crossBetween val="midCat"/>
      </c:valAx>
      <c:valAx>
        <c:axId val="16131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Modulus of Elasticity</a:t>
                </a:r>
                <a:r>
                  <a:rPr lang="en-US" baseline="0"/>
                  <a:t> [Msi]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1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379016</xdr:colOff>
      <xdr:row>9</xdr:row>
      <xdr:rowOff>47228</xdr:rowOff>
    </xdr:from>
    <xdr:to>
      <xdr:col>23</xdr:col>
      <xdr:colOff>302815</xdr:colOff>
      <xdr:row>23</xdr:row>
      <xdr:rowOff>86122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A9B31-665A-8A57-D6C0-BBB614A23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593724</xdr:colOff>
      <xdr:row>19</xdr:row>
      <xdr:rowOff>4141</xdr:rowOff>
    </xdr:from>
    <xdr:to>
      <xdr:col>23</xdr:col>
      <xdr:colOff>517525</xdr:colOff>
      <xdr:row>33</xdr:row>
      <xdr:rowOff>64465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0CDB1C-4A82-40D5-9DB4-8F0DA4A44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357838</xdr:colOff>
      <xdr:row>28</xdr:row>
      <xdr:rowOff>102814</xdr:rowOff>
    </xdr:from>
    <xdr:to>
      <xdr:col>13</xdr:col>
      <xdr:colOff>434347</xdr:colOff>
      <xdr:row>42</xdr:row>
      <xdr:rowOff>173514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6D8A44-E1A6-429D-BA64-72425FA3B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180975</xdr:colOff>
      <xdr:row>46</xdr:row>
      <xdr:rowOff>9525</xdr:rowOff>
    </xdr:from>
    <xdr:to>
      <xdr:col>17</xdr:col>
      <xdr:colOff>104775</xdr:colOff>
      <xdr:row>60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E4ED64-74A2-40D3-BD58-FB523AED0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DAC1-EA8B-42F3-AF3A-D8F9341480AA}">
  <dimension ref="A1:V25"/>
  <sheetViews>
    <sheetView tabSelected="1" zoomScale="89" workbookViewId="0">
      <selection activeCell="F2" sqref="F2:F12"/>
    </sheetView>
  </sheetViews>
  <sheetFormatPr defaultRowHeight="14.5" x14ac:dyDescent="0.35"/>
  <cols>
    <col min="5" max="5" width="15.26953125" bestFit="1" customWidth="1"/>
    <col min="6" max="6" width="12.26953125" bestFit="1" customWidth="1"/>
    <col min="9" max="10" width="13.453125" bestFit="1" customWidth="1"/>
    <col min="12" max="12" width="15.26953125" bestFit="1" customWidth="1"/>
  </cols>
  <sheetData>
    <row r="1" spans="1:9" ht="43.5" x14ac:dyDescent="0.35">
      <c r="A1" s="18" t="s">
        <v>10</v>
      </c>
      <c r="B1" s="18" t="s">
        <v>11</v>
      </c>
      <c r="C1" t="s">
        <v>19</v>
      </c>
      <c r="D1" s="18" t="s">
        <v>13</v>
      </c>
      <c r="E1" s="18" t="s">
        <v>20</v>
      </c>
    </row>
    <row r="2" spans="1:9" x14ac:dyDescent="0.35">
      <c r="A2">
        <f>data!G17</f>
        <v>77.594444444444463</v>
      </c>
      <c r="B2">
        <f>data!I17</f>
        <v>358.87211711105999</v>
      </c>
      <c r="C2">
        <v>440.05788423848998</v>
      </c>
      <c r="D2">
        <v>2.2800000000000001E-2</v>
      </c>
      <c r="E2" s="25">
        <f>C2/D2</f>
        <v>19300.784396424999</v>
      </c>
      <c r="F2" s="26"/>
      <c r="G2" s="25">
        <f>E2*1000000</f>
        <v>19300784396.424999</v>
      </c>
    </row>
    <row r="3" spans="1:9" x14ac:dyDescent="0.35">
      <c r="A3">
        <f>data!G18</f>
        <v>115.92777777777779</v>
      </c>
      <c r="B3">
        <f>data!I18</f>
        <v>377.83269966735998</v>
      </c>
      <c r="C3">
        <v>418.51176769723997</v>
      </c>
      <c r="D3">
        <v>2.2800000000000001E-2</v>
      </c>
      <c r="E3" s="26">
        <f t="shared" ref="E3:E12" si="0">C3/D3</f>
        <v>18355.779284966666</v>
      </c>
      <c r="F3" s="26"/>
      <c r="G3" s="25">
        <f t="shared" ref="G3:G12" si="1">E3*1000000</f>
        <v>18355779284.966667</v>
      </c>
    </row>
    <row r="4" spans="1:9" x14ac:dyDescent="0.35">
      <c r="A4">
        <f>data!G19</f>
        <v>173.15</v>
      </c>
      <c r="B4">
        <f>data!I19</f>
        <v>359.90633070503998</v>
      </c>
      <c r="C4">
        <v>389.55378706579995</v>
      </c>
      <c r="D4">
        <v>2.2800000000000001E-2</v>
      </c>
      <c r="E4" s="26">
        <f t="shared" si="0"/>
        <v>17085.692415166664</v>
      </c>
      <c r="F4" s="26"/>
      <c r="G4" s="25">
        <f t="shared" si="1"/>
        <v>17085692415.166664</v>
      </c>
    </row>
    <row r="5" spans="1:9" x14ac:dyDescent="0.35">
      <c r="A5">
        <f>data!G20</f>
        <v>223.15</v>
      </c>
      <c r="B5">
        <f>data!I20</f>
        <v>341.29048601339997</v>
      </c>
      <c r="C5">
        <v>366.80108799824001</v>
      </c>
      <c r="D5">
        <v>2.2800000000000001E-2</v>
      </c>
      <c r="E5" s="26">
        <f t="shared" si="0"/>
        <v>16087.767017466665</v>
      </c>
      <c r="F5" s="26"/>
      <c r="G5" s="25">
        <f t="shared" si="1"/>
        <v>16087767017.466665</v>
      </c>
    </row>
    <row r="6" spans="1:9" x14ac:dyDescent="0.35">
      <c r="A6">
        <f>data!G21</f>
        <v>295.09444444444449</v>
      </c>
      <c r="B6">
        <f>data!I21</f>
        <v>309.22986460001994</v>
      </c>
      <c r="C6">
        <v>340.85956368257496</v>
      </c>
      <c r="D6">
        <v>0.2</v>
      </c>
      <c r="E6" s="26">
        <f t="shared" si="0"/>
        <v>1704.2978184128747</v>
      </c>
      <c r="F6" s="26"/>
      <c r="G6" s="25">
        <f t="shared" si="1"/>
        <v>1704297818.4128747</v>
      </c>
    </row>
    <row r="7" spans="1:9" x14ac:dyDescent="0.35">
      <c r="A7">
        <f>data!G22</f>
        <v>373.15000000000003</v>
      </c>
      <c r="B7">
        <f>data!I22</f>
        <v>308.02328207370994</v>
      </c>
      <c r="C7">
        <v>321.89898112627498</v>
      </c>
      <c r="D7">
        <v>0.2</v>
      </c>
      <c r="E7" s="26">
        <f t="shared" si="0"/>
        <v>1609.4949056313749</v>
      </c>
      <c r="F7" s="26"/>
      <c r="G7" s="25">
        <f t="shared" si="1"/>
        <v>1609494905.6313748</v>
      </c>
    </row>
    <row r="8" spans="1:9" x14ac:dyDescent="0.35">
      <c r="A8">
        <f>data!G23</f>
        <v>423.15000000000003</v>
      </c>
      <c r="B8">
        <f>data!I23</f>
        <v>266.78401501375743</v>
      </c>
      <c r="C8">
        <v>271.95508298365752</v>
      </c>
      <c r="D8">
        <v>0.3</v>
      </c>
      <c r="E8" s="26">
        <f t="shared" si="0"/>
        <v>906.51694327885843</v>
      </c>
      <c r="F8" s="26"/>
      <c r="G8" s="25">
        <f t="shared" si="1"/>
        <v>906516943.27885842</v>
      </c>
    </row>
    <row r="9" spans="1:9" x14ac:dyDescent="0.35">
      <c r="A9">
        <f>data!G24</f>
        <v>473.15000000000003</v>
      </c>
      <c r="B9">
        <f>data!I24</f>
        <v>207.273641126825</v>
      </c>
      <c r="C9">
        <v>208.56640811929998</v>
      </c>
      <c r="D9">
        <v>0.36</v>
      </c>
      <c r="E9" s="26">
        <f t="shared" si="0"/>
        <v>579.35113366472217</v>
      </c>
      <c r="F9" s="26"/>
      <c r="G9" s="25">
        <f t="shared" si="1"/>
        <v>579351133.6647222</v>
      </c>
    </row>
    <row r="10" spans="1:9" x14ac:dyDescent="0.35">
      <c r="A10">
        <f>data!G25</f>
        <v>523.15000000000009</v>
      </c>
      <c r="B10">
        <f>data!I25</f>
        <v>122.640495352795</v>
      </c>
      <c r="C10">
        <v>128.24248565351999</v>
      </c>
      <c r="D10">
        <v>0.45</v>
      </c>
      <c r="E10" s="26">
        <f t="shared" si="0"/>
        <v>284.98330145226663</v>
      </c>
      <c r="F10" s="26"/>
      <c r="G10" s="25">
        <f t="shared" si="1"/>
        <v>284983301.45226663</v>
      </c>
    </row>
    <row r="11" spans="1:9" x14ac:dyDescent="0.35">
      <c r="A11">
        <f>data!G26</f>
        <v>573.15000000000009</v>
      </c>
      <c r="B11">
        <f>data!I26</f>
        <v>49.814621443370001</v>
      </c>
      <c r="C11">
        <v>53.779106886959994</v>
      </c>
      <c r="D11">
        <v>0.6</v>
      </c>
      <c r="E11" s="26">
        <f t="shared" si="0"/>
        <v>89.63184481159999</v>
      </c>
      <c r="F11" s="26"/>
      <c r="G11" s="25">
        <f t="shared" si="1"/>
        <v>89631844.811599985</v>
      </c>
    </row>
    <row r="12" spans="1:9" x14ac:dyDescent="0.35">
      <c r="A12">
        <v>700</v>
      </c>
      <c r="B12">
        <f>data!I27</f>
        <v>16.317592260573331</v>
      </c>
      <c r="C12">
        <v>17.926368962319998</v>
      </c>
      <c r="D12">
        <v>0.65</v>
      </c>
      <c r="E12" s="26">
        <f t="shared" si="0"/>
        <v>27.579029172799995</v>
      </c>
      <c r="F12" s="26"/>
      <c r="G12" s="25">
        <f t="shared" si="1"/>
        <v>27579029.172799993</v>
      </c>
    </row>
    <row r="13" spans="1:9" x14ac:dyDescent="0.35">
      <c r="E13" s="26"/>
    </row>
    <row r="16" spans="1:9" ht="58.5" thickBot="1" x14ac:dyDescent="0.4">
      <c r="A16" s="18" t="s">
        <v>10</v>
      </c>
      <c r="B16" s="18" t="s">
        <v>16</v>
      </c>
      <c r="D16" s="18" t="s">
        <v>10</v>
      </c>
      <c r="E16" s="18" t="s">
        <v>17</v>
      </c>
      <c r="F16" s="18"/>
      <c r="G16" s="19" t="s">
        <v>18</v>
      </c>
      <c r="H16" s="20" t="s">
        <v>10</v>
      </c>
      <c r="I16" s="21" t="s">
        <v>12</v>
      </c>
    </row>
    <row r="17" spans="1:22" x14ac:dyDescent="0.35">
      <c r="A17">
        <v>298.14999999999998</v>
      </c>
      <c r="B17">
        <f t="shared" ref="B17:B25" si="2">61.133*LN(A17)-154.67</f>
        <v>193.64118001288674</v>
      </c>
      <c r="D17">
        <v>116.14999999999998</v>
      </c>
      <c r="E17">
        <f>13.6*10^-6</f>
        <v>1.3599999999999999E-5</v>
      </c>
      <c r="G17" s="22"/>
      <c r="H17">
        <v>77.594444444444434</v>
      </c>
      <c r="I17" s="25">
        <v>79461934113.818405</v>
      </c>
      <c r="K17" s="6"/>
      <c r="L17" s="25"/>
    </row>
    <row r="18" spans="1:22" x14ac:dyDescent="0.35">
      <c r="A18">
        <v>313.14999999999998</v>
      </c>
      <c r="B18">
        <f t="shared" si="2"/>
        <v>196.64192959434993</v>
      </c>
      <c r="D18">
        <v>173.14999999999998</v>
      </c>
      <c r="E18">
        <f>17.2*10^-6</f>
        <v>1.7199999999999998E-5</v>
      </c>
      <c r="G18" s="22"/>
      <c r="H18">
        <v>294.26111111111106</v>
      </c>
      <c r="I18" s="25">
        <v>71877714805.774994</v>
      </c>
      <c r="K18" s="7"/>
    </row>
    <row r="19" spans="1:22" x14ac:dyDescent="0.35">
      <c r="A19">
        <v>333.15</v>
      </c>
      <c r="B19">
        <f t="shared" si="2"/>
        <v>200.42670602710947</v>
      </c>
      <c r="D19">
        <v>223.14999999999998</v>
      </c>
      <c r="E19">
        <f>19.6*10^-6</f>
        <v>1.9600000000000002E-5</v>
      </c>
      <c r="G19" s="22"/>
      <c r="H19">
        <v>373.15</v>
      </c>
      <c r="I19" s="25">
        <v>71016028000</v>
      </c>
    </row>
    <row r="20" spans="1:22" x14ac:dyDescent="0.35">
      <c r="A20">
        <v>353.15</v>
      </c>
      <c r="B20">
        <f t="shared" si="2"/>
        <v>203.99076340229956</v>
      </c>
      <c r="D20">
        <v>296.14999999999998</v>
      </c>
      <c r="E20">
        <f>21.4*10^-6</f>
        <v>2.1399999999999998E-5</v>
      </c>
      <c r="G20" s="22"/>
      <c r="H20">
        <v>473.15</v>
      </c>
      <c r="I20" s="25">
        <v>59294936000</v>
      </c>
    </row>
    <row r="21" spans="1:22" x14ac:dyDescent="0.35">
      <c r="A21">
        <v>373.15</v>
      </c>
      <c r="B21">
        <f t="shared" si="2"/>
        <v>207.35843290253698</v>
      </c>
      <c r="D21">
        <v>373.15</v>
      </c>
      <c r="E21">
        <f>21.6*10^-6</f>
        <v>2.16E-5</v>
      </c>
      <c r="G21" s="22"/>
      <c r="H21">
        <v>573.15</v>
      </c>
      <c r="I21" s="25">
        <v>37748811000</v>
      </c>
      <c r="K21" s="7"/>
    </row>
    <row r="22" spans="1:22" ht="15" thickBot="1" x14ac:dyDescent="0.4">
      <c r="A22">
        <v>393.15</v>
      </c>
      <c r="B22">
        <f t="shared" si="2"/>
        <v>210.55023175674128</v>
      </c>
      <c r="G22" s="23"/>
      <c r="H22" s="24">
        <v>673.15</v>
      </c>
      <c r="I22" s="25">
        <v>19535153333.333336</v>
      </c>
      <c r="K22" s="10"/>
    </row>
    <row r="23" spans="1:22" x14ac:dyDescent="0.35">
      <c r="A23">
        <v>413.15</v>
      </c>
      <c r="B23">
        <f t="shared" si="2"/>
        <v>213.5836209381574</v>
      </c>
      <c r="I23" s="25"/>
    </row>
    <row r="24" spans="1:22" x14ac:dyDescent="0.35">
      <c r="A24">
        <v>433.15</v>
      </c>
      <c r="B24">
        <f t="shared" si="2"/>
        <v>216.47358357225383</v>
      </c>
      <c r="I24" s="25"/>
    </row>
    <row r="25" spans="1:22" x14ac:dyDescent="0.35">
      <c r="A25">
        <v>453.15</v>
      </c>
      <c r="B25">
        <f t="shared" si="2"/>
        <v>219.23307267168283</v>
      </c>
      <c r="V25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8974-0DAF-4C11-B997-BB6CE3D61B03}">
  <dimension ref="A1:J28"/>
  <sheetViews>
    <sheetView zoomScale="111" zoomScaleNormal="100" workbookViewId="0">
      <selection activeCell="E10" sqref="E10"/>
    </sheetView>
  </sheetViews>
  <sheetFormatPr defaultRowHeight="14.5" x14ac:dyDescent="0.35"/>
  <cols>
    <col min="1" max="1" width="11.26953125" bestFit="1" customWidth="1"/>
    <col min="2" max="2" width="15.54296875" bestFit="1" customWidth="1"/>
    <col min="3" max="3" width="15.26953125" customWidth="1"/>
    <col min="4" max="4" width="13.1796875" customWidth="1"/>
    <col min="5" max="5" width="12.7265625" customWidth="1"/>
    <col min="6" max="6" width="11.26953125" customWidth="1"/>
    <col min="10" max="10" width="12.26953125" bestFit="1" customWidth="1"/>
  </cols>
  <sheetData>
    <row r="1" spans="1:9" s="1" customFormat="1" ht="43.5" x14ac:dyDescent="0.35">
      <c r="A1" s="11"/>
      <c r="B1" s="30" t="s">
        <v>0</v>
      </c>
      <c r="C1" s="13" t="s">
        <v>1</v>
      </c>
      <c r="D1" s="13" t="s">
        <v>2</v>
      </c>
      <c r="E1" s="13" t="s">
        <v>3</v>
      </c>
      <c r="F1" s="14" t="s">
        <v>4</v>
      </c>
      <c r="G1" s="1" t="s">
        <v>8</v>
      </c>
      <c r="H1" s="1" t="s">
        <v>14</v>
      </c>
      <c r="I1" s="1" t="s">
        <v>15</v>
      </c>
    </row>
    <row r="2" spans="1:9" ht="15" thickBot="1" x14ac:dyDescent="0.4">
      <c r="A2" s="12"/>
      <c r="B2" s="31"/>
      <c r="C2" s="15" t="s">
        <v>5</v>
      </c>
      <c r="D2" s="15" t="s">
        <v>5</v>
      </c>
      <c r="E2" s="15" t="s">
        <v>5</v>
      </c>
      <c r="F2" s="16" t="s">
        <v>5</v>
      </c>
    </row>
    <row r="3" spans="1:9" x14ac:dyDescent="0.35">
      <c r="A3" s="27" t="s">
        <v>6</v>
      </c>
      <c r="B3" s="4">
        <v>-251</v>
      </c>
      <c r="C3" s="5">
        <v>60.7</v>
      </c>
      <c r="D3" s="5">
        <v>54.8</v>
      </c>
      <c r="E3" s="5">
        <v>15.1</v>
      </c>
      <c r="F3" s="6">
        <v>11</v>
      </c>
      <c r="G3">
        <f>(B3+459.67) * (5/9)</f>
        <v>115.92777777777779</v>
      </c>
      <c r="H3">
        <f>C3*6.8947572932</f>
        <v>418.51176769723997</v>
      </c>
      <c r="I3">
        <f>D3*6.8947572932</f>
        <v>377.83269966735998</v>
      </c>
    </row>
    <row r="4" spans="1:9" x14ac:dyDescent="0.35">
      <c r="A4" s="28"/>
      <c r="B4" s="2">
        <v>-148</v>
      </c>
      <c r="C4" s="3">
        <v>56.5</v>
      </c>
      <c r="D4" s="3">
        <v>52.2</v>
      </c>
      <c r="E4" s="3">
        <v>13</v>
      </c>
      <c r="F4" s="7">
        <v>11</v>
      </c>
      <c r="G4">
        <f t="shared" ref="G4:G20" si="0">(B4+459.67) * (5/9)</f>
        <v>173.15</v>
      </c>
      <c r="H4">
        <f t="shared" ref="H4:H28" si="1">C4*6.8947572932</f>
        <v>389.55378706579995</v>
      </c>
      <c r="I4">
        <f t="shared" ref="I4:I27" si="2">D4*6.8947572932</f>
        <v>359.90633070503998</v>
      </c>
    </row>
    <row r="5" spans="1:9" x14ac:dyDescent="0.35">
      <c r="A5" s="28"/>
      <c r="B5" s="2">
        <v>-58</v>
      </c>
      <c r="C5" s="3">
        <v>53.2</v>
      </c>
      <c r="D5" s="3">
        <v>49.5</v>
      </c>
      <c r="E5" s="3">
        <v>13.1</v>
      </c>
      <c r="F5" s="7">
        <v>11</v>
      </c>
      <c r="G5">
        <f t="shared" si="0"/>
        <v>223.15</v>
      </c>
      <c r="H5">
        <f t="shared" si="1"/>
        <v>366.80108799824001</v>
      </c>
      <c r="I5">
        <f t="shared" si="2"/>
        <v>341.29048601339997</v>
      </c>
    </row>
    <row r="6" spans="1:9" x14ac:dyDescent="0.35">
      <c r="A6" s="28"/>
      <c r="B6" s="2">
        <v>73</v>
      </c>
      <c r="C6" s="3">
        <v>49</v>
      </c>
      <c r="D6" s="3">
        <v>45</v>
      </c>
      <c r="E6" s="3">
        <v>12.9</v>
      </c>
      <c r="F6" s="7">
        <v>11</v>
      </c>
      <c r="G6">
        <f t="shared" si="0"/>
        <v>295.92777777777781</v>
      </c>
      <c r="H6">
        <f t="shared" si="1"/>
        <v>337.84310736679998</v>
      </c>
      <c r="I6">
        <f t="shared" si="2"/>
        <v>310.26407819399998</v>
      </c>
    </row>
    <row r="7" spans="1:9" x14ac:dyDescent="0.35">
      <c r="A7" s="28"/>
      <c r="B7" s="2">
        <v>212</v>
      </c>
      <c r="C7" s="3">
        <v>48</v>
      </c>
      <c r="D7" s="3">
        <v>46.5</v>
      </c>
      <c r="E7" s="3">
        <v>14.5</v>
      </c>
      <c r="F7" s="7">
        <v>11</v>
      </c>
      <c r="G7">
        <f t="shared" si="0"/>
        <v>373.15000000000003</v>
      </c>
      <c r="H7">
        <f t="shared" si="1"/>
        <v>330.94835007359995</v>
      </c>
      <c r="I7">
        <f t="shared" si="2"/>
        <v>320.60621413379999</v>
      </c>
    </row>
    <row r="8" spans="1:9" x14ac:dyDescent="0.35">
      <c r="A8" s="28"/>
      <c r="B8" s="2">
        <v>302</v>
      </c>
      <c r="C8" s="3">
        <v>41.6</v>
      </c>
      <c r="D8" s="3">
        <v>41.4</v>
      </c>
      <c r="E8" s="3">
        <v>18.399999999999999</v>
      </c>
      <c r="F8" s="7">
        <v>11</v>
      </c>
      <c r="G8">
        <f t="shared" si="0"/>
        <v>423.15000000000003</v>
      </c>
      <c r="H8">
        <f t="shared" si="1"/>
        <v>286.82190339711997</v>
      </c>
      <c r="I8">
        <f t="shared" si="2"/>
        <v>285.44295193847995</v>
      </c>
    </row>
    <row r="9" spans="1:9" x14ac:dyDescent="0.35">
      <c r="A9" s="28"/>
      <c r="B9" s="2">
        <v>392</v>
      </c>
      <c r="C9" s="3">
        <v>31.3</v>
      </c>
      <c r="D9" s="3">
        <v>31</v>
      </c>
      <c r="E9" s="3">
        <v>22</v>
      </c>
      <c r="F9" s="7">
        <v>11</v>
      </c>
      <c r="G9">
        <f t="shared" si="0"/>
        <v>473.15000000000003</v>
      </c>
      <c r="H9">
        <f t="shared" si="1"/>
        <v>215.80590327715998</v>
      </c>
      <c r="I9">
        <f t="shared" si="2"/>
        <v>213.73747608919999</v>
      </c>
    </row>
    <row r="10" spans="1:9" ht="15" thickBot="1" x14ac:dyDescent="0.4">
      <c r="A10" s="29"/>
      <c r="B10" s="8">
        <v>482</v>
      </c>
      <c r="C10" s="9">
        <v>18.7</v>
      </c>
      <c r="D10" s="9">
        <v>17.399999999999999</v>
      </c>
      <c r="E10" s="9">
        <v>29.6</v>
      </c>
      <c r="F10" s="10">
        <v>11</v>
      </c>
      <c r="G10">
        <f t="shared" si="0"/>
        <v>523.15000000000009</v>
      </c>
      <c r="H10">
        <f t="shared" si="1"/>
        <v>128.93196138284</v>
      </c>
      <c r="I10">
        <f t="shared" si="2"/>
        <v>119.96877690167999</v>
      </c>
    </row>
    <row r="11" spans="1:9" x14ac:dyDescent="0.35">
      <c r="A11" s="27" t="s">
        <v>7</v>
      </c>
      <c r="B11" s="4">
        <v>-320</v>
      </c>
      <c r="C11" s="5">
        <v>63.825000000000003</v>
      </c>
      <c r="D11" s="5">
        <v>52.050000000000004</v>
      </c>
      <c r="E11" s="5">
        <v>18</v>
      </c>
      <c r="F11" s="6">
        <v>11.525</v>
      </c>
      <c r="G11">
        <f t="shared" si="0"/>
        <v>77.594444444444463</v>
      </c>
      <c r="H11">
        <f t="shared" si="1"/>
        <v>440.05788423848998</v>
      </c>
      <c r="I11">
        <f t="shared" si="2"/>
        <v>358.87211711105999</v>
      </c>
    </row>
    <row r="12" spans="1:9" x14ac:dyDescent="0.35">
      <c r="A12" s="28"/>
      <c r="B12" s="2">
        <v>70</v>
      </c>
      <c r="C12" s="3">
        <v>49.875</v>
      </c>
      <c r="D12" s="3">
        <v>44.699999999999996</v>
      </c>
      <c r="E12" s="3">
        <v>15.25</v>
      </c>
      <c r="F12" s="7">
        <v>10.425000000000001</v>
      </c>
      <c r="G12">
        <f t="shared" si="0"/>
        <v>294.26111111111118</v>
      </c>
      <c r="H12">
        <f t="shared" si="1"/>
        <v>343.87601999834999</v>
      </c>
      <c r="I12">
        <f t="shared" si="2"/>
        <v>308.19565100603995</v>
      </c>
    </row>
    <row r="13" spans="1:9" x14ac:dyDescent="0.35">
      <c r="A13" s="28"/>
      <c r="B13" s="2">
        <v>212</v>
      </c>
      <c r="C13" s="3">
        <v>45.375</v>
      </c>
      <c r="D13" s="3">
        <v>42.85</v>
      </c>
      <c r="E13" s="3">
        <v>18.25</v>
      </c>
      <c r="F13" s="7">
        <v>10.324999999999999</v>
      </c>
      <c r="G13">
        <f t="shared" si="0"/>
        <v>373.15000000000003</v>
      </c>
      <c r="H13">
        <f t="shared" si="1"/>
        <v>312.84961217895</v>
      </c>
      <c r="I13">
        <f t="shared" si="2"/>
        <v>295.44035001361999</v>
      </c>
    </row>
    <row r="14" spans="1:9" x14ac:dyDescent="0.35">
      <c r="A14" s="28"/>
      <c r="B14" s="2">
        <v>392</v>
      </c>
      <c r="C14" s="3">
        <v>29.200000000000003</v>
      </c>
      <c r="D14" s="3">
        <v>29.125</v>
      </c>
      <c r="E14" s="3">
        <v>34.5</v>
      </c>
      <c r="F14" s="7">
        <v>8.5500000000000007</v>
      </c>
      <c r="G14">
        <f t="shared" si="0"/>
        <v>473.15000000000003</v>
      </c>
      <c r="H14">
        <f t="shared" si="1"/>
        <v>201.32691296144</v>
      </c>
      <c r="I14">
        <f t="shared" si="2"/>
        <v>200.80980616444998</v>
      </c>
    </row>
    <row r="15" spans="1:9" x14ac:dyDescent="0.35">
      <c r="A15" s="28"/>
      <c r="B15" s="2">
        <v>572</v>
      </c>
      <c r="C15" s="3">
        <v>7.8</v>
      </c>
      <c r="D15" s="3">
        <v>7.2250000000000005</v>
      </c>
      <c r="E15" s="3">
        <v>73.75</v>
      </c>
      <c r="F15" s="7">
        <v>5.4749999999999996</v>
      </c>
      <c r="G15">
        <f t="shared" si="0"/>
        <v>573.15000000000009</v>
      </c>
      <c r="H15">
        <f t="shared" si="1"/>
        <v>53.779106886959994</v>
      </c>
      <c r="I15">
        <f t="shared" si="2"/>
        <v>49.814621443370001</v>
      </c>
    </row>
    <row r="16" spans="1:9" ht="15" thickBot="1" x14ac:dyDescent="0.4">
      <c r="A16" s="29"/>
      <c r="B16" s="8">
        <v>752</v>
      </c>
      <c r="C16" s="9">
        <v>2.6</v>
      </c>
      <c r="D16" s="9">
        <v>2.3666666666666667</v>
      </c>
      <c r="E16" s="9">
        <v>72.666666666666671</v>
      </c>
      <c r="F16" s="10">
        <v>2.8333333333333335</v>
      </c>
      <c r="G16">
        <f t="shared" si="0"/>
        <v>673.15000000000009</v>
      </c>
      <c r="H16">
        <f t="shared" si="1"/>
        <v>17.926368962319998</v>
      </c>
      <c r="I16">
        <f t="shared" si="2"/>
        <v>16.317592260573331</v>
      </c>
    </row>
    <row r="17" spans="1:10" ht="15" thickBot="1" x14ac:dyDescent="0.4">
      <c r="A17" s="32" t="s">
        <v>9</v>
      </c>
      <c r="B17" s="17">
        <v>-320</v>
      </c>
      <c r="C17" s="5">
        <v>63.825000000000003</v>
      </c>
      <c r="D17" s="5">
        <v>52.050000000000004</v>
      </c>
      <c r="E17" s="5">
        <v>18</v>
      </c>
      <c r="F17" s="6">
        <v>11.525</v>
      </c>
      <c r="G17">
        <f t="shared" si="0"/>
        <v>77.594444444444463</v>
      </c>
      <c r="H17">
        <f t="shared" si="1"/>
        <v>440.05788423848998</v>
      </c>
      <c r="I17">
        <f t="shared" si="2"/>
        <v>358.87211711105999</v>
      </c>
      <c r="J17" s="25">
        <f>F17*6894760000</f>
        <v>79462109000</v>
      </c>
    </row>
    <row r="18" spans="1:10" x14ac:dyDescent="0.35">
      <c r="A18" s="33"/>
      <c r="B18" s="17">
        <v>-251</v>
      </c>
      <c r="C18" s="5">
        <v>60.7</v>
      </c>
      <c r="D18" s="5">
        <v>54.8</v>
      </c>
      <c r="E18" s="5">
        <v>15.1</v>
      </c>
      <c r="G18">
        <f t="shared" si="0"/>
        <v>115.92777777777779</v>
      </c>
      <c r="H18">
        <f t="shared" si="1"/>
        <v>418.51176769723997</v>
      </c>
      <c r="I18">
        <f t="shared" si="2"/>
        <v>377.83269966735998</v>
      </c>
      <c r="J18" s="25">
        <f t="shared" ref="J18:J27" si="3">F18*6894760000</f>
        <v>0</v>
      </c>
    </row>
    <row r="19" spans="1:10" x14ac:dyDescent="0.35">
      <c r="A19" s="33"/>
      <c r="B19" s="17">
        <v>-148</v>
      </c>
      <c r="C19" s="3">
        <v>56.5</v>
      </c>
      <c r="D19" s="3">
        <v>52.2</v>
      </c>
      <c r="E19" s="3">
        <v>13</v>
      </c>
      <c r="G19">
        <f t="shared" si="0"/>
        <v>173.15</v>
      </c>
      <c r="H19">
        <f t="shared" si="1"/>
        <v>389.55378706579995</v>
      </c>
      <c r="I19">
        <f t="shared" si="2"/>
        <v>359.90633070503998</v>
      </c>
      <c r="J19" s="25">
        <f t="shared" si="3"/>
        <v>0</v>
      </c>
    </row>
    <row r="20" spans="1:10" x14ac:dyDescent="0.35">
      <c r="A20" s="33"/>
      <c r="B20" s="17">
        <v>-58</v>
      </c>
      <c r="C20" s="3">
        <v>53.2</v>
      </c>
      <c r="D20" s="3">
        <v>49.5</v>
      </c>
      <c r="E20" s="3">
        <v>13.1</v>
      </c>
      <c r="G20">
        <f t="shared" si="0"/>
        <v>223.15</v>
      </c>
      <c r="H20">
        <f t="shared" si="1"/>
        <v>366.80108799824001</v>
      </c>
      <c r="I20">
        <f t="shared" si="2"/>
        <v>341.29048601339997</v>
      </c>
      <c r="J20" s="25">
        <f t="shared" si="3"/>
        <v>0</v>
      </c>
    </row>
    <row r="21" spans="1:10" x14ac:dyDescent="0.35">
      <c r="A21" s="33"/>
      <c r="B21" s="17">
        <f>(B12+B6)/2</f>
        <v>71.5</v>
      </c>
      <c r="C21" s="3">
        <f>(C$12+C$6)/2</f>
        <v>49.4375</v>
      </c>
      <c r="D21" s="3">
        <f t="shared" ref="D21:E21" si="4">(D$12+D$6)/2</f>
        <v>44.849999999999994</v>
      </c>
      <c r="E21" s="3">
        <f t="shared" si="4"/>
        <v>14.074999999999999</v>
      </c>
      <c r="F21" s="7">
        <v>10.425000000000001</v>
      </c>
      <c r="G21">
        <f>(B21+459.67) * (5/9)</f>
        <v>295.09444444444449</v>
      </c>
      <c r="H21">
        <f t="shared" si="1"/>
        <v>340.85956368257496</v>
      </c>
      <c r="I21">
        <f t="shared" si="2"/>
        <v>309.22986460001994</v>
      </c>
      <c r="J21" s="25">
        <f>F21*6894760000</f>
        <v>71877873000</v>
      </c>
    </row>
    <row r="22" spans="1:10" x14ac:dyDescent="0.35">
      <c r="A22" s="33"/>
      <c r="B22" s="17">
        <v>212</v>
      </c>
      <c r="C22">
        <f>(C7+C13)/2</f>
        <v>46.6875</v>
      </c>
      <c r="D22">
        <f>(D7+D13)/2</f>
        <v>44.674999999999997</v>
      </c>
      <c r="E22">
        <f>(E7+E13)/2</f>
        <v>16.375</v>
      </c>
      <c r="F22">
        <v>10.3</v>
      </c>
      <c r="G22">
        <f t="shared" ref="G22:G27" si="5">(B22+459.67) * (5/9)</f>
        <v>373.15000000000003</v>
      </c>
      <c r="H22">
        <f t="shared" si="1"/>
        <v>321.89898112627498</v>
      </c>
      <c r="I22">
        <f t="shared" si="2"/>
        <v>308.02328207370994</v>
      </c>
      <c r="J22" s="25">
        <f>F22*6894760000</f>
        <v>71016028000</v>
      </c>
    </row>
    <row r="23" spans="1:10" x14ac:dyDescent="0.35">
      <c r="A23" s="33"/>
      <c r="B23" s="17">
        <v>302</v>
      </c>
      <c r="C23" s="3">
        <f xml:space="preserve"> (C$8 + ((((C$14-C$13)/($B$14-$B$13))*($B$8-$B$13))+C$13))/2</f>
        <v>39.443750000000001</v>
      </c>
      <c r="D23" s="3">
        <f t="shared" ref="D23:E23" si="6" xml:space="preserve"> (D$8 + ((((D$14-D$13)/($B$14-$B$13))*($B$8-$B$13))+D$13))/2</f>
        <v>38.693749999999994</v>
      </c>
      <c r="E23" s="3">
        <f t="shared" si="6"/>
        <v>22.387499999999999</v>
      </c>
      <c r="G23">
        <f t="shared" si="5"/>
        <v>423.15000000000003</v>
      </c>
      <c r="H23">
        <f t="shared" si="1"/>
        <v>271.95508298365752</v>
      </c>
      <c r="I23">
        <f t="shared" si="2"/>
        <v>266.78401501375743</v>
      </c>
      <c r="J23" s="25">
        <f t="shared" si="3"/>
        <v>0</v>
      </c>
    </row>
    <row r="24" spans="1:10" x14ac:dyDescent="0.35">
      <c r="A24" s="33"/>
      <c r="B24" s="17">
        <v>392</v>
      </c>
      <c r="C24">
        <f>(C9+C14)/2</f>
        <v>30.25</v>
      </c>
      <c r="D24">
        <f>(D9+D14)/2</f>
        <v>30.0625</v>
      </c>
      <c r="E24">
        <f>(E9+E14)/2</f>
        <v>28.25</v>
      </c>
      <c r="F24">
        <v>8.6</v>
      </c>
      <c r="G24">
        <f t="shared" si="5"/>
        <v>473.15000000000003</v>
      </c>
      <c r="H24">
        <f t="shared" si="1"/>
        <v>208.56640811929998</v>
      </c>
      <c r="I24">
        <f t="shared" si="2"/>
        <v>207.273641126825</v>
      </c>
      <c r="J24" s="25">
        <f t="shared" si="3"/>
        <v>59294936000</v>
      </c>
    </row>
    <row r="25" spans="1:10" ht="15" thickBot="1" x14ac:dyDescent="0.4">
      <c r="A25" s="33"/>
      <c r="B25" s="17">
        <v>482</v>
      </c>
      <c r="C25" s="9">
        <f xml:space="preserve"> (C$10 + ((((C$15-C$14)/($B$15-$B$14))*($B$10-$B$14))+C$14))/2</f>
        <v>18.600000000000001</v>
      </c>
      <c r="D25" s="9">
        <f t="shared" ref="D25:E25" si="7" xml:space="preserve"> (D$10 + ((((D$15-D$14)/($B$15-$B$14))*($B$10-$B$14))+D$14))/2</f>
        <v>17.787500000000001</v>
      </c>
      <c r="E25" s="9">
        <f t="shared" si="7"/>
        <v>41.862499999999997</v>
      </c>
      <c r="G25">
        <f t="shared" si="5"/>
        <v>523.15000000000009</v>
      </c>
      <c r="H25">
        <f t="shared" si="1"/>
        <v>128.24248565351999</v>
      </c>
      <c r="I25">
        <f t="shared" si="2"/>
        <v>122.640495352795</v>
      </c>
      <c r="J25" s="25">
        <f t="shared" si="3"/>
        <v>0</v>
      </c>
    </row>
    <row r="26" spans="1:10" x14ac:dyDescent="0.35">
      <c r="A26" s="33"/>
      <c r="B26" s="17">
        <v>572</v>
      </c>
      <c r="C26" s="3">
        <v>7.8</v>
      </c>
      <c r="D26" s="3">
        <v>7.2250000000000005</v>
      </c>
      <c r="E26" s="3">
        <v>73.75</v>
      </c>
      <c r="F26" s="7">
        <v>5.4749999999999996</v>
      </c>
      <c r="G26">
        <f t="shared" si="5"/>
        <v>573.15000000000009</v>
      </c>
      <c r="H26">
        <f t="shared" si="1"/>
        <v>53.779106886959994</v>
      </c>
      <c r="I26">
        <f t="shared" si="2"/>
        <v>49.814621443370001</v>
      </c>
      <c r="J26" s="25">
        <f t="shared" si="3"/>
        <v>37748811000</v>
      </c>
    </row>
    <row r="27" spans="1:10" ht="15" thickBot="1" x14ac:dyDescent="0.4">
      <c r="A27" s="33"/>
      <c r="B27" s="17">
        <v>752</v>
      </c>
      <c r="C27" s="9">
        <v>2.6</v>
      </c>
      <c r="D27" s="9">
        <v>2.3666666666666667</v>
      </c>
      <c r="E27" s="9">
        <v>72.666666666666671</v>
      </c>
      <c r="F27" s="10">
        <v>2.8333333333333335</v>
      </c>
      <c r="G27">
        <f t="shared" si="5"/>
        <v>673.15000000000009</v>
      </c>
      <c r="H27">
        <f t="shared" si="1"/>
        <v>17.926368962319998</v>
      </c>
      <c r="I27">
        <f t="shared" si="2"/>
        <v>16.317592260573331</v>
      </c>
      <c r="J27" s="25">
        <f t="shared" si="3"/>
        <v>19535153333.333336</v>
      </c>
    </row>
    <row r="28" spans="1:10" x14ac:dyDescent="0.35">
      <c r="A28" s="33"/>
      <c r="H28">
        <f t="shared" si="1"/>
        <v>0</v>
      </c>
    </row>
  </sheetData>
  <mergeCells count="4">
    <mergeCell ref="A3:A10"/>
    <mergeCell ref="A11:A16"/>
    <mergeCell ref="B1:B2"/>
    <mergeCell ref="A17:A28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  <clbl:label id="{77d8e8fd-48ee-4d7c-8d96-390f6ecb5e23}" enabled="1" method="Standard" siteId="{4ae73226-ddd7-46a7-b25b-7338e0555d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Matlab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Fedotowsky, Tessa M. (MSFC-ER41)</dc:creator>
  <cp:lastModifiedBy>Adam Grendys</cp:lastModifiedBy>
  <dcterms:created xsi:type="dcterms:W3CDTF">2023-10-13T20:56:24Z</dcterms:created>
  <dcterms:modified xsi:type="dcterms:W3CDTF">2026-03-20T00:25:50Z</dcterms:modified>
</cp:coreProperties>
</file>